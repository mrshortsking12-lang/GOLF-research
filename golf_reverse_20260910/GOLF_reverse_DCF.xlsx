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e124d8b03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erse DCF" sheetId="1" r:id="R9f1ff56fd86d4105"/>
    <x:sheet xmlns:r="http://schemas.openxmlformats.org/officeDocument/2006/relationships" name="Inputs" sheetId="2" r:id="Re473af29b32e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(#,##0.0);&quot;-&quot;"/>
    <x:numFmt numFmtId="201" formatCode="0.0%;(0.0%);&quot;-&quot;"/>
    <x:numFmt numFmtId="202" formatCode="$0.00;($0.00);&quot;-&quot;"/>
    <x:numFmt numFmtId="203" formatCode="0.00&quot;x&quot;"/>
    <x:numFmt numFmtId="204" formatCode="0"/>
    <x:numFmt numFmtId="205" formatCode="$0.00;($0.00);$0.00"/>
    <x:numFmt numFmtId="206" formatCode="0.000000"/>
    <x:numFmt numFmtId="207" formatCode="#,##0.000;(#,##0.000);&quot;-&quot;"/>
    <x:numFmt numFmtId="208" formatCode="0.00;(0.00);0.00"/>
  </x:numFmts>
  <x:fonts count="12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b/>
      <x:sz val="16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i/>
      <x:sz val="10"/>
      <x:name val="Arial"/>
    </x:font>
    <x:font>
      <x:sz val="10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E50"/>
      </x:patternFill>
    </x:fill>
    <x:fill>
      <x:patternFill patternType="solid">
        <x:fgColor rgb="FFE6EFE8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2">
    <x:border/>
    <x:border>
      <x:top style="thin">
        <x:color rgb="FF203E50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0" fontId="6" fillId="2" borderId="0" xfId="0" applyNumberFormat="1" applyFont="1" applyFill="1" applyBorder="1"/>
    <x:xf numFmtId="200" fontId="6" fillId="2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7" fillId="3" borderId="0" xfId="0" applyNumberFormat="1" applyFont="1" applyFill="1" applyBorder="1"/>
    <x:xf numFmtId="201" fontId="7" fillId="3" borderId="0" xfId="0" applyNumberFormat="1" applyFont="1" applyFill="1" applyBorder="1"/>
    <x:xf numFmtId="200" fontId="8" fillId="0" borderId="0" xfId="0" applyNumberFormat="1" applyFont="1" applyFill="1" applyBorder="1"/>
    <x:xf numFmtId="200" fontId="8" fillId="4" borderId="0" xfId="0" applyNumberFormat="1" applyFont="1" applyFill="1" applyBorder="1"/>
    <x:xf numFmtId="200" fontId="9" fillId="0" borderId="0" xfId="0" applyNumberFormat="1" applyFont="1" applyFill="1" applyBorder="1"/>
    <x:xf numFmtId="201" fontId="8" fillId="4" borderId="0" xfId="0" applyNumberFormat="1" applyFont="1" applyFill="1" applyBorder="1"/>
    <x:xf numFmtId="204" fontId="2" fillId="0" borderId="0" xfId="0" applyNumberFormat="1" applyFont="1" applyFill="1" applyBorder="1"/>
    <x:xf numFmtId="201" fontId="8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1" xfId="0" applyNumberFormat="1" applyFont="1" applyFill="1" applyBorder="1"/>
    <x:xf numFmtId="205" fontId="2" fillId="0" borderId="0" xfId="0" applyNumberFormat="1" applyFont="1" applyFill="1" applyBorder="1"/>
    <x:xf numFmtId="202" fontId="8" fillId="0" borderId="0" xfId="0" applyNumberFormat="1" applyFont="1" applyFill="1" applyBorder="1"/>
    <x:xf numFmtId="206" fontId="8" fillId="0" borderId="0" xfId="0" applyNumberFormat="1" applyFont="1" applyFill="1" applyBorder="1"/>
    <x:xf numFmtId="0" fontId="10" fillId="0" borderId="0" xfId="0" applyNumberFormat="1" applyFont="1" applyFill="1" applyBorder="1"/>
    <x:xf numFmtId="201" fontId="11" fillId="4" borderId="0" xfId="0" applyNumberFormat="1" applyFont="1" applyFill="1" applyBorder="1"/>
    <x:xf numFmtId="201" fontId="11" fillId="5" borderId="0" xfId="0" applyNumberFormat="1" applyFont="1" applyFill="1" applyBorder="1"/>
    <x:xf numFmtId="207" fontId="2" fillId="0" borderId="0" xfId="0" applyNumberFormat="1" applyFont="1" applyFill="1" applyBorder="1"/>
    <x:xf numFmtId="208" fontId="2" fillId="0" borderId="0" xfId="0" applyNumberFormat="1" applyFont="1" applyFill="1" applyBorder="1"/>
  </x:cellXfs>
  <x:cellStyles count="1">
    <x:cellStyle name="Normal" xfId="0"/>
  </x:cellStyles>
  <x:dxfs count="2">
    <x:dxf>
      <x:font>
        <x:color rgb="FF000000"/>
      </x:font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92820cf404d66" /><Relationship Type="http://schemas.openxmlformats.org/officeDocument/2006/relationships/theme" Target="/xl/theme/theme1.xml" Id="R948a9915f85546ca" /><Relationship Type="http://schemas.openxmlformats.org/officeDocument/2006/relationships/sharedStrings" Target="/xl/sharedStrings.xml" Id="R335bfab9ffdc44f3" /><Relationship Type="http://schemas.openxmlformats.org/officeDocument/2006/relationships/worksheet" Target="/xl/worksheets/sheet1.xml" Id="R9f1ff56fd86d4105" /><Relationship Type="http://schemas.openxmlformats.org/officeDocument/2006/relationships/worksheet" Target="/xl/worksheets/sheet2.xml" Id="Re473af29b32e44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E50"/>
  </x:sheetPr>
  <x:sheetViews>
    <x:sheetView showGridLines="0" workbookViewId="0"/>
  </x:sheetViews>
  <x:sheetFormatPr defaultRowHeight="15"/>
  <x:cols>
    <x:col min="1" max="1" width="3" hidden="0" customWidth="1"/>
    <x:col min="2" max="2" width="3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</x:row>
    <x:row r="2" ht="20" customHeight="1">
      <x:c r="A2" s="2"/>
      <x:c r="B2" s="5" t="str">
        <x:v>GOLF reverse DCF</x:v>
      </x:c>
      <x:c r="C2" s="3"/>
      <x:c r="D2" s="3"/>
      <x:c r="E2" s="3"/>
      <x:c r="F2" s="3"/>
      <x:c r="G2" s="3"/>
      <x:c r="H2" s="3"/>
      <x:c r="I2" s="3"/>
      <x:c r="J2" s="3"/>
    </x:row>
    <x:row r="3" ht="20" customHeight="1">
      <x:c r="A3" s="2"/>
      <x:c r="B3" s="2" t="str">
        <x:v>Acushnet Holdings Corp. September 10, 2026. USD millions except per share.</x:v>
      </x:c>
      <x:c r="C3" s="3"/>
      <x:c r="D3" s="3"/>
      <x:c r="E3" s="3"/>
      <x:c r="F3" s="3"/>
      <x:c r="G3" s="3"/>
      <x:c r="H3" s="3"/>
      <x:c r="I3" s="3"/>
      <x:c r="J3" s="3"/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</x:row>
    <x:row r="5" ht="20" customHeight="1">
      <x:c r="A5" s="2"/>
      <x:c r="B5" s="10" t="str">
        <x:v>Market-implied requirements</x:v>
      </x:c>
      <x:c r="C5" s="11"/>
      <x:c r="D5" s="3"/>
      <x:c r="E5" s="3"/>
      <x:c r="F5" s="3"/>
      <x:c r="G5" s="3"/>
      <x:c r="H5" s="3"/>
      <x:c r="I5" s="3"/>
      <x:c r="J5" s="3"/>
    </x:row>
    <x:row r="6" ht="20" customHeight="1">
      <x:c r="A6" s="2"/>
      <x:c r="B6" s="17" t="str">
        <x:v>Required revenue CAGR</x:v>
      </x:c>
      <x:c r="C6" s="18" t="n">
        <x:f>C18</x:f>
        <x:v>0.14426683138204843</x:v>
      </x:c>
      <x:c r="D6" s="3"/>
      <x:c r="E6" s="3" t="str">
        <x:v>Five normalized forward years, with year-end discounting.</x:v>
      </x:c>
      <x:c r="F6" s="3"/>
      <x:c r="G6" s="3"/>
      <x:c r="H6" s="3"/>
      <x:c r="I6" s="3"/>
      <x:c r="J6" s="3"/>
    </x:row>
    <x:row r="7" ht="20" customHeight="1">
      <x:c r="A7" s="2"/>
      <x:c r="B7" s="2" t="str">
        <x:v>Market price</x:v>
      </x:c>
      <x:c r="C7" s="13" t="n">
        <x:f>'Inputs'!C6</x:f>
        <x:v>85.29</x:v>
      </x:c>
      <x:c r="D7" s="3"/>
      <x:c r="E7" s="3"/>
      <x:c r="F7" s="3"/>
      <x:c r="G7" s="3"/>
      <x:c r="H7" s="3"/>
      <x:c r="I7" s="3"/>
      <x:c r="J7" s="3"/>
    </x:row>
    <x:row r="8" ht="20" customHeight="1">
      <x:c r="A8" s="2"/>
      <x:c r="B8" s="2" t="str">
        <x:v>Model value per share</x:v>
      </x:c>
      <x:c r="C8" s="13" t="n">
        <x:f>C48</x:f>
        <x:v>85.29000000000003</x:v>
      </x:c>
      <x:c r="D8" s="3"/>
      <x:c r="E8" s="3" t="str">
        <x:v>After changing inputs, use Excel Goal Seek:</x:v>
      </x:c>
      <x:c r="F8" s="3"/>
      <x:c r="G8" s="3"/>
      <x:c r="H8" s="3"/>
      <x:c r="I8" s="3"/>
      <x:c r="J8" s="3"/>
    </x:row>
    <x:row r="9" ht="20" customHeight="1">
      <x:c r="A9" s="2"/>
      <x:c r="B9" s="2" t="str">
        <x:v>Year 5 revenue</x:v>
      </x:c>
      <x:c r="C9" s="3" t="n">
        <x:f>G32</x:f>
        <x:v>5223.073809130748</x:v>
      </x:c>
      <x:c r="D9" s="3"/>
      <x:c r="E9" s="3" t="str">
        <x:v>Set C49 to 0 by changing C18.</x:v>
      </x:c>
      <x:c r="F9" s="3"/>
      <x:c r="G9" s="3"/>
      <x:c r="H9" s="3"/>
      <x:c r="I9" s="3"/>
      <x:c r="J9" s="3"/>
    </x:row>
    <x:row r="10" ht="20" customHeight="1">
      <x:c r="A10" s="2"/>
      <x:c r="B10" s="2" t="str">
        <x:v>Year 5 / starting revenue</x:v>
      </x:c>
      <x:c r="C10" s="14" t="n">
        <x:f>G32/$C$19</x:f>
        <x:v>1.9617178625843184</x:v>
      </x:c>
      <x:c r="D10" s="3"/>
      <x:c r="E10" s="3"/>
      <x:c r="F10" s="3"/>
      <x:c r="G10" s="3"/>
      <x:c r="H10" s="3"/>
      <x:c r="I10" s="3"/>
      <x:c r="J10" s="3"/>
    </x:row>
    <x:row r="11" ht="20" customHeight="1">
      <x:c r="A11" s="2"/>
      <x:c r="B11" s="2" t="str">
        <x:v>Terminal PV / enterprise value</x:v>
      </x:c>
      <x:c r="C11" s="12" t="n">
        <x:f>C45/C46</x:f>
        <x:v>0.8456685455495404</x:v>
      </x:c>
      <x:c r="D11" s="3"/>
      <x:c r="E11" s="3" t="str">
        <x:v>C18 is the saved solution. It does not solve itself after edits.</x:v>
      </x:c>
      <x:c r="F11" s="3"/>
      <x:c r="G11" s="3"/>
      <x:c r="H11" s="3"/>
      <x:c r="I11" s="3"/>
      <x:c r="J11" s="3"/>
    </x:row>
    <x:row r="12" ht="20" customHeight="1">
      <x:c r="A12" s="2"/>
      <x:c r="B12" s="2"/>
      <x:c r="C12" s="3"/>
      <x:c r="D12" s="3"/>
      <x:c r="E12" s="3"/>
      <x:c r="F12" s="3"/>
      <x:c r="G12" s="3"/>
      <x:c r="H12" s="3"/>
      <x:c r="I12" s="3"/>
      <x:c r="J12" s="3"/>
    </x:row>
    <x:row r="13" ht="20" customHeight="1">
      <x:c r="A13" s="2"/>
      <x:c r="B13" s="2" t="str">
        <x:v>Conditional growth requirement, not a forecast. Terminal assumptions materially drive the answer.</x:v>
      </x:c>
      <x:c r="C13" s="3"/>
      <x:c r="D13" s="3"/>
      <x:c r="E13" s="3"/>
      <x:c r="F13" s="3"/>
      <x:c r="G13" s="3"/>
      <x:c r="H13" s="3"/>
      <x:c r="I13" s="3"/>
      <x:c r="J13" s="3"/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</x:row>
    <x:row r="15" ht="20" customHeight="1">
      <x:c r="A15" s="2"/>
      <x:c r="B15" s="2"/>
      <x:c r="C15" s="3"/>
      <x:c r="D15" s="3"/>
      <x:c r="E15" s="3"/>
      <x:c r="F15" s="3"/>
      <x:c r="G15" s="3"/>
      <x:c r="H15" s="3"/>
      <x:c r="I15" s="3"/>
      <x:c r="J15" s="3"/>
    </x:row>
    <x:row r="16" ht="20" customHeight="1">
      <x:c r="A16" s="2"/>
      <x:c r="B16" s="10" t="str">
        <x:v>Valuation controls</x:v>
      </x:c>
      <x:c r="C16" s="11"/>
      <x:c r="D16" s="3"/>
      <x:c r="E16" s="3"/>
      <x:c r="F16" s="3"/>
      <x:c r="G16" s="3"/>
      <x:c r="H16" s="3"/>
      <x:c r="I16" s="3"/>
      <x:c r="J16" s="3"/>
    </x:row>
    <x:row r="17" ht="20" customHeight="1">
      <x:c r="A17" s="2"/>
      <x:c r="B17" s="2"/>
      <x:c r="C17" s="3"/>
      <x:c r="D17" s="3"/>
      <x:c r="E17" s="3"/>
      <x:c r="F17" s="3"/>
      <x:c r="G17" s="3"/>
      <x:c r="H17" s="3"/>
      <x:c r="I17" s="3"/>
      <x:c r="J17" s="3"/>
    </x:row>
    <x:row r="18" ht="20" customHeight="1">
      <x:c r="A18" s="2"/>
      <x:c r="B18" s="2" t="str">
        <x:v>Revenue growth (Goal Seek input)</x:v>
      </x:c>
      <x:c r="C18" s="22" t="n">
        <x:v>0.14426683138204843</x:v>
      </x:c>
      <x:c r="D18" s="3"/>
      <x:c r="E18" s="3" t="str">
        <x:v>Blue / amber = editable assumptions. Green = links to Inputs.</x:v>
      </x:c>
      <x:c r="F18" s="3"/>
      <x:c r="G18" s="3"/>
      <x:c r="H18" s="3"/>
      <x:c r="I18" s="3"/>
      <x:c r="J18" s="3"/>
    </x:row>
    <x:row r="19" ht="20" customHeight="1">
      <x:c r="A19" s="2"/>
      <x:c r="B19" s="2" t="str">
        <x:v>Starting annual revenue</x:v>
      </x:c>
      <x:c r="C19" s="21" t="n">
        <x:f>AVERAGE('Inputs'!C8:C9)</x:f>
        <x:v>2662.5</x:v>
      </x:c>
      <x:c r="D19" s="3"/>
      <x:c r="E19" s="3"/>
      <x:c r="F19" s="3"/>
      <x:c r="G19" s="3"/>
      <x:c r="H19" s="3"/>
      <x:c r="I19" s="3"/>
      <x:c r="J19" s="3"/>
    </x:row>
    <x:row r="20" ht="20" customHeight="1">
      <x:c r="A20" s="2"/>
      <x:c r="B20" s="2" t="str">
        <x:v>WACC</x:v>
      </x:c>
      <x:c r="C20" s="22" t="n">
        <x:v>0.085</x:v>
      </x:c>
      <x:c r="D20" s="3"/>
      <x:c r="E20" s="3" t="str">
        <x:v>WACC is an assumed required return, not a CAPM estimate.</x:v>
      </x:c>
      <x:c r="F20" s="3"/>
      <x:c r="G20" s="3"/>
      <x:c r="H20" s="3"/>
      <x:c r="I20" s="3"/>
      <x:c r="J20" s="3"/>
    </x:row>
    <x:row r="21" ht="20" customHeight="1">
      <x:c r="A21" s="2"/>
      <x:c r="B21" s="2" t="str">
        <x:v>Terminal revenue growth</x:v>
      </x:c>
      <x:c r="C21" s="22" t="n">
        <x:v>0.025</x:v>
      </x:c>
      <x:c r="D21" s="3"/>
      <x:c r="E21" s="3"/>
      <x:c r="F21" s="3"/>
      <x:c r="G21" s="3"/>
      <x:c r="H21" s="3"/>
      <x:c r="I21" s="3"/>
      <x:c r="J21" s="3"/>
    </x:row>
    <x:row r="22" ht="20" customHeight="1">
      <x:c r="A22" s="2"/>
      <x:c r="B22" s="2" t="str">
        <x:v>Tax rate</x:v>
      </x:c>
      <x:c r="C22" s="22" t="n">
        <x:v>0.23</x:v>
      </x:c>
      <x:c r="D22" s="3"/>
      <x:c r="E22" s="3" t="str">
        <x:v>Margins retain recurring stock compensation as an expense.</x:v>
      </x:c>
      <x:c r="F22" s="3"/>
      <x:c r="G22" s="3"/>
      <x:c r="H22" s="3"/>
      <x:c r="I22" s="3"/>
      <x:c r="J22" s="3"/>
    </x:row>
    <x:row r="23" ht="20" customHeight="1">
      <x:c r="A23" s="2"/>
      <x:c r="B23" s="2" t="str">
        <x:v>D&amp;A / revenue</x:v>
      </x:c>
      <x:c r="C23" s="34" t="n">
        <x:f>ROUND(C67,3)</x:f>
        <x:v>0.022</x:v>
      </x:c>
      <x:c r="D23" s="3"/>
      <x:c r="E23" s="3"/>
      <x:c r="F23" s="3"/>
      <x:c r="G23" s="3"/>
      <x:c r="H23" s="3"/>
      <x:c r="I23" s="3"/>
      <x:c r="J23" s="3"/>
    </x:row>
    <x:row r="24" ht="20" customHeight="1">
      <x:c r="A24" s="2"/>
      <x:c r="B24" s="2" t="str">
        <x:v>Physical capex / revenue</x:v>
      </x:c>
      <x:c r="C24" s="22" t="n">
        <x:v>0.035</x:v>
      </x:c>
      <x:c r="D24" s="3"/>
      <x:c r="E24" s="3" t="str">
        <x:v>ERP is additional net investment, excluding related amortization.</x:v>
      </x:c>
      <x:c r="F24" s="3"/>
      <x:c r="G24" s="3"/>
      <x:c r="H24" s="3"/>
      <x:c r="I24" s="3"/>
      <x:c r="J24" s="3"/>
    </x:row>
    <x:row r="25" ht="20" customHeight="1">
      <x:c r="A25" s="2"/>
      <x:c r="B25" s="2" t="str">
        <x:v>Incremental NWC / new sales</x:v>
      </x:c>
      <x:c r="C25" s="22" t="n">
        <x:v>0.2</x:v>
      </x:c>
      <x:c r="D25" s="3"/>
      <x:c r="E25" s="3" t="str">
        <x:v>Downloaded 2025 10-K calibration is shown below the model.</x:v>
      </x:c>
      <x:c r="F25" s="3"/>
      <x:c r="G25" s="3"/>
      <x:c r="H25" s="3"/>
      <x:c r="I25" s="3"/>
      <x:c r="J25" s="3"/>
    </x:row>
    <x:row r="26" ht="20" customHeight="1">
      <x:c r="A26" s="2"/>
      <x:c r="B26" s="2" t="str">
        <x:v>Diluted shares proxy</x:v>
      </x:c>
      <x:c r="C26" s="21" t="n">
        <x:f>SUM('Inputs'!C12:C13)</x:f>
        <x:v>58.582333</x:v>
      </x:c>
      <x:c r="D26" s="3"/>
      <x:c r="E26" s="3" t="str">
        <x:v>July shares plus Q2 incremental dilution. No future buybacks.</x:v>
      </x:c>
      <x:c r="F26" s="3"/>
      <x:c r="G26" s="3"/>
      <x:c r="H26" s="3"/>
      <x:c r="I26" s="3"/>
      <x:c r="J26" s="3"/>
    </x:row>
    <x:row r="27" ht="20" customHeight="1">
      <x:c r="A27" s="2"/>
      <x:c r="B27" s="2" t="str">
        <x:v>Net debt and other claims</x:v>
      </x:c>
      <x:c r="C27" s="21" t="n">
        <x:f>SUM('Inputs'!C15:C18)-'Inputs'!C19+SUM('Inputs'!C20:C23)</x:f>
        <x:v>975.9870000000001</x:v>
      </x:c>
      <x:c r="D27" s="3"/>
      <x:c r="E27" s="3"/>
      <x:c r="F27" s="3"/>
      <x:c r="G27" s="3"/>
      <x:c r="H27" s="3"/>
      <x:c r="I27" s="3"/>
      <x:c r="J27" s="3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</x:row>
    <x:row r="29" ht="20" customHeight="1">
      <x:c r="A29" s="2"/>
      <x:c r="B29" s="2"/>
      <x:c r="C29" s="3"/>
      <x:c r="D29" s="3"/>
      <x:c r="E29" s="3"/>
      <x:c r="F29" s="3"/>
      <x:c r="G29" s="3"/>
      <x:c r="H29" s="3"/>
      <x:c r="I29" s="3"/>
      <x:c r="J29" s="3"/>
    </x:row>
    <x:row r="30" ht="20" customHeight="1">
      <x:c r="A30" s="2"/>
      <x:c r="B30" s="10" t="str">
        <x:v>Operating forecast</x:v>
      </x:c>
      <x:c r="C30" s="11" t="str">
        <x:v>Year 1</x:v>
      </x:c>
      <x:c r="D30" s="11" t="str">
        <x:v>Year 2</x:v>
      </x:c>
      <x:c r="E30" s="11" t="str">
        <x:v>Year 3</x:v>
      </x:c>
      <x:c r="F30" s="11" t="str">
        <x:v>Year 4</x:v>
      </x:c>
      <x:c r="G30" s="11" t="str">
        <x:v>Year 5</x:v>
      </x:c>
      <x:c r="H30" s="11" t="str">
        <x:v>Terminal</x:v>
      </x:c>
      <x:c r="I30" s="3"/>
      <x:c r="J30" s="3"/>
    </x:row>
    <x:row r="31" ht="20" customHeight="1">
      <x:c r="A31" s="2"/>
      <x:c r="B31" s="2" t="str">
        <x:v>Revenue growth</x:v>
      </x:c>
      <x:c r="C31" s="12" t="n">
        <x:f>$C$18</x:f>
        <x:v>0.14426683138204843</x:v>
      </x:c>
      <x:c r="D31" s="12" t="n">
        <x:f>$C$18</x:f>
        <x:v>0.14426683138204843</x:v>
      </x:c>
      <x:c r="E31" s="12" t="n">
        <x:f>$C$18</x:f>
        <x:v>0.14426683138204843</x:v>
      </x:c>
      <x:c r="F31" s="12" t="n">
        <x:f>$C$18</x:f>
        <x:v>0.14426683138204843</x:v>
      </x:c>
      <x:c r="G31" s="12" t="n">
        <x:f>$C$18</x:f>
        <x:v>0.14426683138204843</x:v>
      </x:c>
      <x:c r="H31" s="12" t="n">
        <x:f>$C$21</x:f>
        <x:v>0.025</x:v>
      </x:c>
      <x:c r="I31" s="3"/>
      <x:c r="J31" s="3"/>
    </x:row>
    <x:row r="32" ht="20" customHeight="1">
      <x:c r="A32" s="2"/>
      <x:c r="B32" s="2" t="str">
        <x:v>Revenue</x:v>
      </x:c>
      <x:c r="C32" s="3" t="n">
        <x:f>$C$19*(1+C31)</x:f>
        <x:v>3046.610438554704</x:v>
      </x:c>
      <x:c r="D32" s="3" t="n">
        <x:f>C32*(1+D31)</x:f>
        <x:v>3486.135272980465</x:v>
      </x:c>
      <x:c r="E32" s="3" t="n">
        <x:f>D32*(1+E31)</x:f>
        <x:v>3989.0689625825494</x:v>
      </x:c>
      <x:c r="F32" s="3" t="n">
        <x:f>E32*(1+F31)</x:f>
        <x:v>4564.559301978809</x:v>
      </x:c>
      <x:c r="G32" s="3" t="n">
        <x:f>F32*(1+G31)</x:f>
        <x:v>5223.073809130748</x:v>
      </x:c>
      <x:c r="H32" s="3" t="n">
        <x:f>G32*(1+H31)</x:f>
        <x:v>5353.650654359016</x:v>
      </x:c>
      <x:c r="I32" s="3"/>
      <x:c r="J32" s="3"/>
    </x:row>
    <x:row r="33" ht="20" customHeight="1">
      <x:c r="A33" s="2"/>
      <x:c r="B33" s="2" t="str">
        <x:v>EBIT margin</x:v>
      </x:c>
      <x:c r="C33" s="22" t="n">
        <x:v>0.125</x:v>
      </x:c>
      <x:c r="D33" s="22" t="n">
        <x:v>0.1275</x:v>
      </x:c>
      <x:c r="E33" s="22" t="n">
        <x:v>0.13</x:v>
      </x:c>
      <x:c r="F33" s="22" t="n">
        <x:v>0.1325</x:v>
      </x:c>
      <x:c r="G33" s="22" t="n">
        <x:v>0.135</x:v>
      </x:c>
      <x:c r="H33" s="12" t="n">
        <x:f>G33</x:f>
        <x:v>0.135</x:v>
      </x:c>
      <x:c r="I33" s="3"/>
      <x:c r="J33" s="3"/>
    </x:row>
    <x:row r="34" ht="20" customHeight="1">
      <x:c r="A34" s="2"/>
      <x:c r="B34" s="2" t="str">
        <x:v>EBIT</x:v>
      </x:c>
      <x:c r="C34" s="3" t="n">
        <x:f>C32*C33</x:f>
        <x:v>380.826304819338</x:v>
      </x:c>
      <x:c r="D34" s="3" t="n">
        <x:f>D32*D33</x:f>
        <x:v>444.48224730500925</x:v>
      </x:c>
      <x:c r="E34" s="3" t="n">
        <x:f>E32*E33</x:f>
        <x:v>518.5789651357314</x:v>
      </x:c>
      <x:c r="F34" s="3" t="n">
        <x:f>F32*F33</x:f>
        <x:v>604.8041075121922</x:v>
      </x:c>
      <x:c r="G34" s="3" t="n">
        <x:f>G32*G33</x:f>
        <x:v>705.114964232651</x:v>
      </x:c>
      <x:c r="H34" s="3" t="n">
        <x:f>H32*H33</x:f>
        <x:v>722.7428383384672</x:v>
      </x:c>
      <x:c r="I34" s="3"/>
      <x:c r="J34" s="3"/>
    </x:row>
    <x:row r="35" ht="20" customHeight="1">
      <x:c r="A35" s="2"/>
      <x:c r="B35" s="2" t="str">
        <x:v>NOPAT</x:v>
      </x:c>
      <x:c r="C35" s="3" t="n">
        <x:f>C34*(1-$C$22)</x:f>
        <x:v>293.2362547108903</x:v>
      </x:c>
      <x:c r="D35" s="3" t="n">
        <x:f>D34*(1-$C$22)</x:f>
        <x:v>342.25133042485714</x:v>
      </x:c>
      <x:c r="E35" s="3" t="n">
        <x:f>E34*(1-$C$22)</x:f>
        <x:v>399.3058031545132</x:v>
      </x:c>
      <x:c r="F35" s="3" t="n">
        <x:f>F34*(1-$C$22)</x:f>
        <x:v>465.699162784388</x:v>
      </x:c>
      <x:c r="G35" s="3" t="n">
        <x:f>G34*(1-$C$22)</x:f>
        <x:v>542.9385224591413</x:v>
      </x:c>
      <x:c r="H35" s="3" t="n">
        <x:f>H34*(1-$C$22)</x:f>
        <x:v>556.5119855206198</x:v>
      </x:c>
      <x:c r="I35" s="3"/>
      <x:c r="J35" s="3"/>
    </x:row>
    <x:row r="36" ht="20" customHeight="1">
      <x:c r="A36" s="2"/>
      <x:c r="B36" s="2" t="str">
        <x:v>D&amp;A</x:v>
      </x:c>
      <x:c r="C36" s="3" t="n">
        <x:f>C32*$C$23</x:f>
        <x:v>67.02542964820348</x:v>
      </x:c>
      <x:c r="D36" s="3" t="n">
        <x:f>D32*$C$23</x:f>
        <x:v>76.69497600557023</x:v>
      </x:c>
      <x:c r="E36" s="3" t="n">
        <x:f>E32*$C$23</x:f>
        <x:v>87.75951717681608</x:v>
      </x:c>
      <x:c r="F36" s="3" t="n">
        <x:f>F32*$C$23</x:f>
        <x:v>100.4203046435338</x:v>
      </x:c>
      <x:c r="G36" s="3" t="n">
        <x:f>G32*$C$23</x:f>
        <x:v>114.90762380087644</x:v>
      </x:c>
      <x:c r="H36" s="3" t="n">
        <x:f>H32*$C$23</x:f>
        <x:v>117.78031439589834</x:v>
      </x:c>
      <x:c r="I36" s="3"/>
      <x:c r="J36" s="3"/>
    </x:row>
    <x:row r="37" ht="20" customHeight="1">
      <x:c r="A37" s="2"/>
      <x:c r="B37" s="2" t="str">
        <x:v>Physical capital expenditures</x:v>
      </x:c>
      <x:c r="C37" s="3" t="n">
        <x:f>C32*$C$24</x:f>
        <x:v>106.63136534941465</x:v>
      </x:c>
      <x:c r="D37" s="3" t="n">
        <x:f>D32*$C$24</x:f>
        <x:v>122.01473455431628</x:v>
      </x:c>
      <x:c r="E37" s="3" t="n">
        <x:f>E32*$C$24</x:f>
        <x:v>139.61741369038924</x:v>
      </x:c>
      <x:c r="F37" s="3" t="n">
        <x:f>F32*$C$24</x:f>
        <x:v>159.75957556925835</x:v>
      </x:c>
      <x:c r="G37" s="3" t="n">
        <x:f>G32*$C$24</x:f>
        <x:v>182.8075833195762</x:v>
      </x:c>
      <x:c r="H37" s="3" t="n">
        <x:f>H32*$C$24</x:f>
        <x:v>187.37777290256557</x:v>
      </x:c>
      <x:c r="I37" s="3"/>
      <x:c r="J37" s="3"/>
    </x:row>
    <x:row r="38" ht="20" customHeight="1">
      <x:c r="A38" s="2"/>
      <x:c r="B38" s="2" t="str">
        <x:v>Change in operating NWC</x:v>
      </x:c>
      <x:c r="C38" s="3" t="n">
        <x:f>(C32-$C$19)*$C$25</x:f>
        <x:v>76.82208771094083</x:v>
      </x:c>
      <x:c r="D38" s="3" t="n">
        <x:f>(D32-C32)*$C$25</x:f>
        <x:v>87.90496688515213</x:v>
      </x:c>
      <x:c r="E38" s="3" t="n">
        <x:f>(E32-D32)*$C$25</x:f>
        <x:v>100.58673792041691</x:v>
      </x:c>
      <x:c r="F38" s="3" t="n">
        <x:f>(F32-E32)*$C$25</x:f>
        <x:v>115.098067879252</x:v>
      </x:c>
      <x:c r="G38" s="3" t="n">
        <x:f>(G32-F32)*$C$25</x:f>
        <x:v>131.70290143038764</x:v>
      </x:c>
      <x:c r="H38" s="3" t="n">
        <x:f>(H32-G32)*$C$25</x:f>
        <x:v>26.115369045653644</x:v>
      </x:c>
      <x:c r="I38" s="3"/>
      <x:c r="J38" s="3"/>
    </x:row>
    <x:row r="39" ht="20" customHeight="1">
      <x:c r="A39" s="2"/>
      <x:c r="B39" s="2" t="str">
        <x:v>Additional net ERP investment</x:v>
      </x:c>
      <x:c r="C39" s="20" t="n">
        <x:v>25</x:v>
      </x:c>
      <x:c r="D39" s="20" t="n">
        <x:v>15</x:v>
      </x:c>
      <x:c r="E39" s="20" t="n">
        <x:v>10</x:v>
      </x:c>
      <x:c r="F39" s="20" t="n">
        <x:v>5</x:v>
      </x:c>
      <x:c r="G39" s="20" t="n">
        <x:v>5</x:v>
      </x:c>
      <x:c r="H39" s="3" t="n">
        <x:f>G39*(1+$C$21)</x:f>
        <x:v>5.125</x:v>
      </x:c>
      <x:c r="I39" s="3"/>
      <x:c r="J39" s="3"/>
    </x:row>
    <x:row r="40" ht="20" customHeight="1">
      <x:c r="A40" s="2"/>
      <x:c r="B40" s="27" t="str">
        <x:v>Unlevered free cash flow</x:v>
      </x:c>
      <x:c r="C40" s="28" t="n">
        <x:f>SUM(C35:C36)-SUM(C37:C39)</x:f>
        <x:v>151.80823129873832</x:v>
      </x:c>
      <x:c r="D40" s="28" t="n">
        <x:f>SUM(D35:D36)-SUM(D37:D39)</x:f>
        <x:v>194.026604990959</x:v>
      </x:c>
      <x:c r="E40" s="28" t="n">
        <x:f>SUM(E35:E36)-SUM(E37:E39)</x:f>
        <x:v>236.86116872052315</x:v>
      </x:c>
      <x:c r="F40" s="28" t="n">
        <x:f>SUM(F35:F36)-SUM(F37:F39)</x:f>
        <x:v>286.2618239794115</x:v>
      </x:c>
      <x:c r="G40" s="28" t="n">
        <x:f>SUM(G35:G36)-SUM(G37:G39)</x:f>
        <x:v>338.33566151005385</x:v>
      </x:c>
      <x:c r="H40" s="28" t="n">
        <x:f>SUM(H35:H36)-SUM(H37:H39)</x:f>
        <x:v>455.6741579682989</x:v>
      </x:c>
      <x:c r="I40" s="3"/>
      <x:c r="J40" s="3"/>
    </x:row>
    <x:row r="41" ht="20" customHeight="1">
      <x:c r="A41" s="2"/>
      <x:c r="B41" s="2" t="str">
        <x:v>Discount period</x:v>
      </x:c>
      <x:c r="C41" s="23" t="n">
        <x:v>1</x:v>
      </x:c>
      <x:c r="D41" s="23" t="n">
        <x:v>2</x:v>
      </x:c>
      <x:c r="E41" s="23" t="n">
        <x:v>3</x:v>
      </x:c>
      <x:c r="F41" s="23" t="n">
        <x:v>4</x:v>
      </x:c>
      <x:c r="G41" s="23" t="n">
        <x:v>5</x:v>
      </x:c>
      <x:c r="H41" s="23" t="n">
        <x:v>6</x:v>
      </x:c>
      <x:c r="I41" s="3"/>
      <x:c r="J41" s="3"/>
    </x:row>
    <x:row r="42" ht="20" customHeight="1">
      <x:c r="A42" s="2"/>
      <x:c r="B42" s="2" t="str">
        <x:v>PV of free cash flow</x:v>
      </x:c>
      <x:c r="C42" s="3" t="n">
        <x:f>C40/(1+$C$20)^C41</x:f>
        <x:v>139.91542055183257</x:v>
      </x:c>
      <x:c r="D42" s="3" t="n">
        <x:f>D40/(1+$C$20)^D41</x:f>
        <x:v>164.8169253889095</x:v>
      </x:c>
      <x:c r="E42" s="3" t="n">
        <x:f>E40/(1+$C$20)^E41</x:f>
        <x:v>185.44052719506493</x:v>
      </x:c>
      <x:c r="F42" s="3" t="n">
        <x:f>F40/(1+$C$20)^F41</x:f>
        <x:v>206.55917075118265</x:v>
      </x:c>
      <x:c r="G42" s="3" t="n">
        <x:f>G40/(1+$C$20)^G41</x:f>
        <x:v>225.00858322252685</x:v>
      </x:c>
      <x:c r="H42" s="3"/>
      <x:c r="I42" s="3"/>
      <x:c r="J42" s="3"/>
    </x:row>
    <x:row r="43" ht="20" customHeight="1">
      <x:c r="A43" s="2"/>
      <x:c r="B43" s="2"/>
      <x:c r="C43" s="3"/>
      <x:c r="D43" s="3"/>
      <x:c r="E43" s="3"/>
      <x:c r="F43" s="3"/>
      <x:c r="G43" s="3"/>
      <x:c r="H43" s="3"/>
      <x:c r="I43" s="3"/>
      <x:c r="J43" s="3"/>
    </x:row>
    <x:row r="44" ht="20" customHeight="1">
      <x:c r="A44" s="2"/>
      <x:c r="B44" s="2" t="str">
        <x:v>PV of explicit cash flows</x:v>
      </x:c>
      <x:c r="C44" s="3" t="n">
        <x:f>SUM(C42:G42)</x:f>
        <x:v>921.7406271095165</x:v>
      </x:c>
      <x:c r="D44" s="3"/>
      <x:c r="E44" s="3"/>
      <x:c r="F44" s="3"/>
      <x:c r="G44" s="3"/>
      <x:c r="H44" s="3"/>
      <x:c r="I44" s="3"/>
      <x:c r="J44" s="3"/>
    </x:row>
    <x:row r="45" ht="20" customHeight="1">
      <x:c r="A45" s="2"/>
      <x:c r="B45" s="2" t="str">
        <x:v>PV of terminal value</x:v>
      </x:c>
      <x:c r="C45" s="3" t="n">
        <x:f>IF(C20&gt;C21,H40/(C20-C21)/(1+C20)^G41,NA())</x:f>
        <x:v>5050.733554460485</x:v>
      </x:c>
      <x:c r="D45" s="3"/>
      <x:c r="E45" s="3" t="str">
        <x:v>Terminal cash flow is rebuilt using 2.5% growth (editable C21).</x:v>
      </x:c>
      <x:c r="F45" s="3"/>
      <x:c r="G45" s="3"/>
      <x:c r="H45" s="3"/>
      <x:c r="I45" s="3"/>
      <x:c r="J45" s="3"/>
    </x:row>
    <x:row r="46" ht="20" customHeight="1">
      <x:c r="A46" s="2"/>
      <x:c r="B46" s="2" t="str">
        <x:v>Enterprise value</x:v>
      </x:c>
      <x:c r="C46" s="3" t="n">
        <x:f>SUM(C44:C45)</x:f>
        <x:v>5972.474181570002</x:v>
      </x:c>
      <x:c r="D46" s="3"/>
      <x:c r="E46" s="3"/>
      <x:c r="F46" s="3"/>
      <x:c r="G46" s="3"/>
      <x:c r="H46" s="3"/>
      <x:c r="I46" s="3"/>
      <x:c r="J46" s="3"/>
    </x:row>
    <x:row r="47" ht="20" customHeight="1">
      <x:c r="A47" s="2"/>
      <x:c r="B47" s="2" t="str">
        <x:v>Equity value</x:v>
      </x:c>
      <x:c r="C47" s="3" t="n">
        <x:f>C46-C27</x:f>
        <x:v>4996.487181570002</x:v>
      </x:c>
      <x:c r="D47" s="3"/>
      <x:c r="E47" s="3" t="str">
        <x:v>Lower terminal growth releases working-capital investment.</x:v>
      </x:c>
      <x:c r="F47" s="3"/>
      <x:c r="G47" s="3"/>
      <x:c r="H47" s="3"/>
      <x:c r="I47" s="3"/>
      <x:c r="J47" s="3"/>
    </x:row>
    <x:row r="48" ht="20" customHeight="1">
      <x:c r="A48" s="2"/>
      <x:c r="B48" s="2" t="str">
        <x:v>Value per diluted share</x:v>
      </x:c>
      <x:c r="C48" s="29" t="n">
        <x:f>C47/C26</x:f>
        <x:v>85.29000000000003</x:v>
      </x:c>
      <x:c r="D48" s="3"/>
      <x:c r="E48" s="3"/>
      <x:c r="F48" s="3"/>
      <x:c r="G48" s="3"/>
      <x:c r="H48" s="3"/>
      <x:c r="I48" s="3"/>
      <x:c r="J48" s="3"/>
    </x:row>
    <x:row r="49" ht="20" customHeight="1">
      <x:c r="A49" s="2"/>
      <x:c r="B49" s="2" t="str">
        <x:v>Model minus market ($/share)</x:v>
      </x:c>
      <x:c r="C49" s="29" t="n">
        <x:f>C48-'Inputs'!C6</x:f>
        <x:v>2.842170943040401e-14</x:v>
      </x:c>
      <x:c r="D49" s="3"/>
      <x:c r="E49" s="3" t="str">
        <x:v>A nonzero difference means the growth input needs re-solving.</x:v>
      </x:c>
      <x:c r="F49" s="3"/>
      <x:c r="G49" s="3"/>
      <x:c r="H49" s="3"/>
      <x:c r="I49" s="3"/>
      <x:c r="J49" s="3"/>
    </x:row>
    <x:row r="50" ht="20" customHeight="1">
      <x:c r="A50" s="2"/>
      <x:c r="B50" s="2"/>
      <x:c r="C50" s="3"/>
      <x:c r="D50" s="3"/>
      <x:c r="E50" s="3"/>
      <x:c r="F50" s="3"/>
      <x:c r="G50" s="3"/>
      <x:c r="H50" s="3"/>
      <x:c r="I50" s="3"/>
      <x:c r="J50" s="3"/>
    </x:row>
    <x:row r="51" ht="20" customHeight="1">
      <x:c r="A51" s="2"/>
      <x:c r="B51" s="2"/>
      <x:c r="C51" s="3"/>
      <x:c r="D51" s="3"/>
      <x:c r="E51" s="3"/>
      <x:c r="F51" s="3"/>
      <x:c r="G51" s="3"/>
      <x:c r="H51" s="3"/>
      <x:c r="I51" s="3"/>
      <x:c r="J51" s="3"/>
    </x:row>
    <x:row r="52" ht="20" customHeight="1">
      <x:c r="A52" s="2"/>
      <x:c r="B52" s="25" t="str">
        <x:v>Method and limitations</x:v>
      </x:c>
      <x:c r="C52" s="3"/>
      <x:c r="D52" s="3"/>
      <x:c r="E52" s="3"/>
      <x:c r="F52" s="3"/>
      <x:c r="G52" s="3"/>
      <x:c r="H52" s="3"/>
      <x:c r="I52" s="3"/>
      <x:c r="J52" s="3"/>
    </x:row>
    <x:row r="53" ht="20" customHeight="1">
      <x:c r="A53" s="2"/>
      <x:c r="B53" s="2" t="str">
        <x:v>Starting sales are FY2026 guidance midpoint, used as an annual run-rate proxy. Forecast years are not fiscal years.</x:v>
      </x:c>
      <x:c r="C53" s="3"/>
      <x:c r="D53" s="3"/>
      <x:c r="E53" s="3"/>
      <x:c r="F53" s="3"/>
      <x:c r="G53" s="3"/>
      <x:c r="H53" s="3"/>
      <x:c r="I53" s="3"/>
      <x:c r="J53" s="3"/>
    </x:row>
    <x:row r="54" ht="20" customHeight="1">
      <x:c r="A54" s="2"/>
      <x:c r="B54" s="2" t="str">
        <x:v>EBIT margins are analyst assumptions of 12.5% to 13.5%, excluding recurring tariff refunds. No EBITDA-to-FCFF shortcut.</x:v>
      </x:c>
      <x:c r="C54" s="3"/>
      <x:c r="D54" s="3"/>
      <x:c r="E54" s="3"/>
      <x:c r="F54" s="3"/>
      <x:c r="G54" s="3"/>
      <x:c r="H54" s="3"/>
      <x:c r="I54" s="3"/>
      <x:c r="J54" s="3"/>
    </x:row>
    <x:row r="55" ht="20" customHeight="1">
      <x:c r="A55" s="2"/>
      <x:c r="B55" s="2" t="str">
        <x:v>Terminal growth drops immediately to C21 after Year 5. This materially increases cash conversion as NWC investment slows.</x:v>
      </x:c>
      <x:c r="C55" s="3"/>
      <x:c r="D55" s="3"/>
      <x:c r="E55" s="3"/>
      <x:c r="F55" s="3"/>
      <x:c r="G55" s="3"/>
      <x:c r="H55" s="3"/>
      <x:c r="I55" s="3"/>
      <x:c r="J55" s="3"/>
    </x:row>
    <x:row r="56" ht="20" customHeight="1">
      <x:c r="A56" s="2"/>
      <x:c r="B56" s="2" t="str">
        <x:v>Physical capex exceeds D&amp;A indefinitely. ERP net investment declines to $5m and then grows at the terminal rate.</x:v>
      </x:c>
      <x:c r="C56" s="3"/>
      <x:c r="D56" s="3"/>
      <x:c r="E56" s="3"/>
      <x:c r="F56" s="3"/>
      <x:c r="G56" s="3"/>
      <x:c r="H56" s="3"/>
      <x:c r="I56" s="3"/>
      <x:c r="J56" s="3"/>
    </x:row>
    <x:row r="57" ht="20" customHeight="1">
      <x:c r="A57" s="2"/>
      <x:c r="B57" s="2" t="str">
        <x:v>June balance sheet predates the quote. Debt principal, pension and minority book values approximate economic claims.</x:v>
      </x:c>
      <x:c r="C57" s="3"/>
      <x:c r="D57" s="3"/>
      <x:c r="E57" s="3"/>
      <x:c r="F57" s="3"/>
      <x:c r="G57" s="3"/>
      <x:c r="H57" s="3"/>
      <x:c r="I57" s="3"/>
      <x:c r="J57" s="3"/>
    </x:row>
    <x:row r="58" ht="20" customHeight="1">
      <x:c r="A58" s="2"/>
      <x:c r="B58" s="2" t="str">
        <x:v>All unrestricted cash is added. Operating leases stay in operating costs. No separately valued investments are added.</x:v>
      </x:c>
      <x:c r="C58" s="3"/>
      <x:c r="D58" s="3"/>
      <x:c r="E58" s="3"/>
      <x:c r="F58" s="3"/>
      <x:c r="G58" s="3"/>
      <x:c r="H58" s="3"/>
      <x:c r="I58" s="3"/>
      <x:c r="J58" s="3"/>
    </x:row>
    <x:row r="59" ht="20" customHeight="1">
      <x:c r="A59" s="2"/>
      <x:c r="B59" s="2" t="str">
        <x:v>Residual noncurrent finance leases are not separately quantified. Dilution is approximate. Source details are in Inputs.</x:v>
      </x:c>
      <x:c r="C59" s="3"/>
      <x:c r="D59" s="3"/>
      <x:c r="E59" s="3"/>
      <x:c r="F59" s="3"/>
      <x:c r="G59" s="3"/>
      <x:c r="H59" s="3"/>
      <x:c r="I59" s="3"/>
      <x:c r="J59" s="3"/>
    </x:row>
    <x:row r="60" ht="20" customHeight="1">
      <x:c r="A60" s="2"/>
      <x:c r="B60" s="2" t="str">
        <x:v>Model formulas were recalculated and checked with Artifact Tool. Excel Goal Seek was not tested in the native app.</x:v>
      </x:c>
      <x:c r="C60" s="3"/>
      <x:c r="D60" s="3"/>
      <x:c r="E60" s="3"/>
      <x:c r="F60" s="3"/>
      <x:c r="G60" s="3"/>
      <x:c r="H60" s="3"/>
      <x:c r="I60" s="3"/>
      <x:c r="J60" s="3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</x:row>
    <x:row r="63" ht="20" customHeight="1">
      <x:c r="A63" s="2"/>
      <x:c r="B63" s="10" t="str">
        <x:v>10-K calibration</x:v>
      </x:c>
      <x:c r="C63" s="11"/>
      <x:c r="D63" s="3"/>
      <x:c r="E63" s="3"/>
      <x:c r="F63" s="3"/>
      <x:c r="G63" s="3"/>
      <x:c r="H63" s="3"/>
      <x:c r="I63" s="3"/>
      <x:c r="J63" s="3"/>
    </x:row>
    <x:row r="64" ht="20" customHeight="1">
      <x:c r="A64" s="2"/>
      <x:c r="B64" s="2" t="str">
        <x:v>2025 revenue growth</x:v>
      </x:c>
      <x:c r="C64" s="12" t="n">
        <x:f>'Inputs'!C44/'Inputs'!C45-1</x:f>
        <x:v>0.041365582308510396</x:v>
      </x:c>
      <x:c r="D64" s="3"/>
      <x:c r="E64" s="3" t="str">
        <x:v>Compare with the required five-year CAGR above.</x:v>
      </x:c>
      <x:c r="F64" s="3"/>
      <x:c r="G64" s="3"/>
      <x:c r="H64" s="3"/>
      <x:c r="I64" s="3"/>
      <x:c r="J64" s="3"/>
    </x:row>
    <x:row r="65" ht="20" customHeight="1">
      <x:c r="A65" s="2"/>
      <x:c r="B65" s="2" t="str">
        <x:v>2023–2025 revenue CAGR</x:v>
      </x:c>
      <x:c r="C65" s="12" t="n">
        <x:f>('Inputs'!C44/'Inputs'!C46)^(1/2)-1</x:f>
        <x:v>0.0364343729729677</x:v>
      </x:c>
      <x:c r="D65" s="3"/>
      <x:c r="E65" s="3" t="str">
        <x:v>Historical annualized growth across two years.</x:v>
      </x:c>
      <x:c r="F65" s="3"/>
      <x:c r="G65" s="3"/>
      <x:c r="H65" s="3"/>
      <x:c r="I65" s="3"/>
      <x:c r="J65" s="3"/>
    </x:row>
    <x:row r="66" ht="20" customHeight="1">
      <x:c r="B66" s="2" t="str">
        <x:v>2025 EBIT margin</x:v>
      </x:c>
      <x:c r="C66" s="12" t="n">
        <x:f>'Inputs'!C47/'Inputs'!C44</x:f>
        <x:v>0.11702211644057794</x:v>
      </x:c>
      <x:c r="D66" s="2"/>
      <x:c r="E66" s="2" t="str">
        <x:v>Model assumes improvement to 12.5%–13.5%.</x:v>
      </x:c>
      <x:c r="F66" s="2"/>
      <x:c r="G66" s="2"/>
      <x:c r="H66" s="2"/>
      <x:c r="I66" s="2"/>
      <x:c r="J66" s="2"/>
    </x:row>
    <x:row r="67" ht="20" customHeight="1">
      <x:c r="B67" s="2" t="str">
        <x:v>2025 D&amp;A / revenue</x:v>
      </x:c>
      <x:c r="C67" s="12" t="n">
        <x:f>'Inputs'!C48/'Inputs'!C44</x:f>
        <x:v>0.02160915766806189</x:v>
      </x:c>
      <x:c r="D67" s="2"/>
      <x:c r="E67" s="2" t="str">
        <x:v>Forecast rounds this historical ratio to 2.2%.</x:v>
      </x:c>
      <x:c r="F67" s="2"/>
      <x:c r="G67" s="2"/>
      <x:c r="H67" s="2"/>
      <x:c r="I67" s="2"/>
      <x:c r="J67" s="2"/>
    </x:row>
    <x:row r="68" ht="20" customHeight="1">
      <x:c r="B68" s="2" t="str">
        <x:v>2025 physical capex / revenue</x:v>
      </x:c>
      <x:c r="C68" s="12" t="n">
        <x:f>'Inputs'!C49/'Inputs'!C44</x:f>
        <x:v>0.029054257385499837</x:v>
      </x:c>
      <x:c r="D68" s="2"/>
      <x:c r="E68" s="2" t="str">
        <x:v>Model uses 3.5%, supported by higher 2026 capex guidance.</x:v>
      </x:c>
      <x:c r="F68" s="2"/>
      <x:c r="G68" s="2"/>
      <x:c r="H68" s="2"/>
      <x:c r="I68" s="2"/>
      <x:c r="J68" s="2"/>
    </x:row>
    <x:row r="69" ht="20" customHeight="1">
      <x:c r="B69" s="2" t="str">
        <x:v>2026 capex guidance / sales</x:v>
      </x:c>
      <x:c r="C69" s="12" t="n">
        <x:f>'Inputs'!C25/C19</x:f>
        <x:v>0.03568075117370892</x:v>
      </x:c>
      <x:c r="D69" s="2"/>
      <x:c r="E69" s="2" t="str">
        <x:v>ERP investment is modeled separately.</x:v>
      </x:c>
      <x:c r="F69" s="2"/>
      <x:c r="G69" s="2"/>
      <x:c r="H69" s="2"/>
      <x:c r="I69" s="2"/>
      <x:c r="J69" s="2"/>
    </x:row>
    <x:row r="70" ht="20" customHeight="1">
      <x:c r="B70" s="2" t="str">
        <x:v>2026 guided revenue growth</x:v>
      </x:c>
      <x:c r="C70" s="12" t="n">
        <x:f>C19/'Inputs'!C44-1</x:f>
        <x:v>0.04055527546868953</x:v>
      </x:c>
      <x:c r="D70" s="2"/>
      <x:c r="E70" s="2" t="str">
        <x:v>Guidance midpoint versus reported 2025 sales.</x:v>
      </x:c>
      <x:c r="F70" s="2"/>
      <x:c r="G70" s="2"/>
      <x:c r="H70" s="2"/>
      <x:c r="I70" s="2"/>
      <x:c r="J70" s="2"/>
    </x:row>
    <x:row r="71" ht="20" customHeight="1">
      <x:c r="B71" s="2" t="str">
        <x:v>2025 CFO less physical capex</x:v>
      </x:c>
      <x:c r="C71" s="3" t="n">
        <x:f>'Inputs'!C50-'Inputs'!C49</x:f>
        <x:v>120.028</x:v>
      </x:c>
      <x:c r="D71" s="2"/>
      <x:c r="E71" s="2" t="str">
        <x:v>After-interest cash flow, not unlevered FCFF.</x:v>
      </x:c>
      <x:c r="F71" s="2"/>
      <x:c r="G71" s="2"/>
      <x:c r="H71" s="2"/>
      <x:c r="I71" s="2"/>
      <x:c r="J71" s="2"/>
    </x:row>
    <x:row r="72" ht="20" customHeight="1">
      <x:c r="B72" s="2"/>
      <x:c r="C72" s="2"/>
      <x:c r="D72" s="2"/>
      <x:c r="E72" s="2"/>
      <x:c r="F72" s="2"/>
      <x:c r="G72" s="2"/>
      <x:c r="H72" s="2"/>
      <x:c r="I72" s="2"/>
      <x:c r="J72" s="2"/>
    </x:row>
    <x:row r="73" ht="20" customHeight="1">
      <x:c r="B73" s="2" t="str">
        <x:v>Working-capital intensity, ERP fade, margins and WACC are forward estimates, not reported 10-K facts.</x:v>
      </x:c>
      <x:c r="C73" s="2"/>
      <x:c r="D73" s="2"/>
      <x:c r="E73" s="2"/>
      <x:c r="F73" s="2"/>
      <x:c r="G73" s="2"/>
      <x:c r="H73" s="2"/>
      <x:c r="I73" s="2"/>
      <x:c r="J73" s="2"/>
    </x:row>
    <x:row r="74" ht="20" customHeight="1">
      <x:c r="B74" s="2"/>
      <x:c r="C74" s="2"/>
      <x:c r="D74" s="2"/>
      <x:c r="E74" s="2"/>
      <x:c r="F74" s="2"/>
      <x:c r="G74" s="2"/>
      <x:c r="H74" s="2"/>
      <x:c r="I74" s="2"/>
      <x:c r="J74" s="2"/>
    </x:row>
    <x:row r="76" ht="20" customHeight="1">
      <x:c r="B76" s="10" t="str">
        <x:v>WACC sensitivity</x:v>
      </x:c>
      <x:c r="C76" s="10"/>
      <x:c r="D76" s="10"/>
      <x:c r="E76" s="2"/>
      <x:c r="F76" s="2"/>
      <x:c r="G76" s="2"/>
      <x:c r="H76" s="2"/>
      <x:c r="I76" s="2"/>
      <x:c r="J76" s="2"/>
    </x:row>
    <x:row r="77" ht="20" customHeight="1">
      <x:c r="B77" s="2" t="str">
        <x:v>WACC</x:v>
      </x:c>
      <x:c r="C77" s="2" t="str">
        <x:v>Required growth</x:v>
      </x:c>
      <x:c r="D77" s="2" t="str">
        <x:v>Price check</x:v>
      </x:c>
      <x:c r="E77" s="2"/>
      <x:c r="F77" s="2"/>
      <x:c r="G77" s="2"/>
      <x:c r="H77" s="2"/>
      <x:c r="I77" s="2"/>
      <x:c r="J77" s="2"/>
    </x:row>
    <x:row r="78" ht="20" customHeight="1">
      <x:c r="B78" s="12" t="n">
        <x:v>0.075</x:v>
      </x:c>
      <x:c r="C78" s="12" t="n">
        <x:v>0.09337677922453802</x:v>
      </x:c>
      <x:c r="D78" s="13" t="n">
        <x:v>85.28999999999994</x:v>
      </x:c>
      <x:c r="E78" s="2"/>
      <x:c r="F78" s="2"/>
      <x:c r="G78" s="2"/>
      <x:c r="H78" s="2"/>
      <x:c r="I78" s="2"/>
      <x:c r="J78" s="2"/>
    </x:row>
    <x:row r="79" ht="20" customHeight="1">
      <x:c r="B79" s="12" t="n">
        <x:v>0.085</x:v>
      </x:c>
      <x:c r="C79" s="12" t="n">
        <x:v>0.14426683138204843</x:v>
      </x:c>
      <x:c r="D79" s="13" t="n">
        <x:v>85.29000000000003</x:v>
      </x:c>
      <x:c r="E79" s="2"/>
      <x:c r="F79" s="2"/>
      <x:c r="G79" s="2"/>
      <x:c r="H79" s="2"/>
      <x:c r="I79" s="2"/>
      <x:c r="J79" s="2"/>
    </x:row>
    <x:row r="80" ht="20" customHeight="1">
      <x:c r="B80" s="12" t="n">
        <x:v>0.095</x:v>
      </x:c>
      <x:c r="C80" s="12" t="n">
        <x:v>0.1912591734788488</x:v>
      </x:c>
      <x:c r="D80" s="13" t="n">
        <x:v>85.28999999999996</x:v>
      </x:c>
      <x:c r="E80" s="2"/>
      <x:c r="F80" s="2"/>
      <x:c r="G80" s="2"/>
      <x:c r="H80" s="2"/>
      <x:c r="I80" s="2"/>
      <x:c r="J80" s="2"/>
    </x:row>
    <x:row r="81" ht="20" customHeight="1">
      <x:c r="B81" s="2"/>
      <x:c r="C81" s="2"/>
      <x:c r="D81" s="2"/>
      <x:c r="E81" s="2"/>
      <x:c r="F81" s="2"/>
      <x:c r="G81" s="2"/>
      <x:c r="H81" s="2"/>
      <x:c r="I81" s="2"/>
      <x:c r="J81" s="2"/>
    </x:row>
    <x:row r="82" ht="20" customHeight="1">
      <x:c r="B82" s="2" t="str">
        <x:v>Saved September 10 sensitivity results. Each rate was solved using the same five-year model and 2.5% terminal growth.</x:v>
      </x:c>
      <x:c r="C82" s="2"/>
      <x:c r="D82" s="2"/>
      <x:c r="E82" s="2"/>
      <x:c r="F82" s="2"/>
      <x:c r="G82" s="2"/>
      <x:c r="H82" s="2"/>
      <x:c r="I82" s="2"/>
      <x:c r="J82" s="2"/>
    </x:row>
    <x:row r="83" ht="20" customHeight="1">
      <x:c r="B83" s="2" t="str">
        <x:v>To refresh in Excel, change C20 and Goal Seek C49 to 0 using C18 for each WACC. This table is a dated snapshot.</x:v>
      </x:c>
      <x:c r="C83" s="2"/>
      <x:c r="D83" s="2"/>
      <x:c r="E83" s="2"/>
      <x:c r="F83" s="2"/>
      <x:c r="G83" s="2"/>
      <x:c r="H83" s="2"/>
      <x:c r="I83" s="2"/>
      <x:c r="J83" s="2"/>
    </x:row>
    <x:row r="84" ht="20" customHeight="1">
      <x:c r="B84" s="2"/>
      <x:c r="C84" s="2"/>
      <x:c r="D84" s="2"/>
      <x:c r="E84" s="2"/>
      <x:c r="F84" s="2"/>
      <x:c r="G84" s="2"/>
      <x:c r="H84" s="2"/>
      <x:c r="I84" s="2"/>
      <x:c r="J84" s="2"/>
    </x:row>
    <x:row r="85" ht="20" customHeight="1">
      <x:c r="B85" s="2"/>
      <x:c r="C85" s="2"/>
      <x:c r="D85" s="2"/>
      <x:c r="E85" s="2"/>
      <x:c r="F85" s="2"/>
      <x:c r="G85" s="2"/>
      <x:c r="H85" s="2"/>
      <x:c r="I85" s="2"/>
      <x:c r="J85" s="2"/>
    </x:row>
    <x:row r="86" ht="20" customHeight="1">
      <x:c r="B86" s="10" t="str">
        <x:v>Enterprise-to-equity bridge</x:v>
      </x:c>
      <x:c r="C86" s="10"/>
      <x:c r="D86" s="2"/>
      <x:c r="E86" s="2"/>
      <x:c r="F86" s="2"/>
      <x:c r="G86" s="2"/>
      <x:c r="H86" s="2"/>
      <x:c r="I86" s="2"/>
      <x:c r="J86" s="2"/>
    </x:row>
    <x:row r="87" ht="20" customHeight="1">
      <x:c r="B87" s="2" t="str">
        <x:v>Enterprise value</x:v>
      </x:c>
      <x:c r="C87" s="35" t="n">
        <x:f>C46</x:f>
        <x:v>5972.474181570002</x:v>
      </x:c>
      <x:c r="D87" s="2"/>
      <x:c r="E87" s="2"/>
      <x:c r="F87" s="2"/>
      <x:c r="G87" s="2"/>
      <x:c r="H87" s="2"/>
      <x:c r="I87" s="2"/>
      <x:c r="J87" s="2"/>
    </x:row>
    <x:row r="88" ht="20" customHeight="1">
      <x:c r="B88" s="2" t="str">
        <x:v>Less: debt principal</x:v>
      </x:c>
      <x:c r="C88" s="35" t="n">
        <x:f>-SUM('Inputs'!C15:C18)</x:f>
        <x:v>-965.1410000000001</x:v>
      </x:c>
      <x:c r="D88" s="2"/>
      <x:c r="E88" s="2"/>
      <x:c r="F88" s="2"/>
      <x:c r="G88" s="2"/>
      <x:c r="H88" s="2"/>
      <x:c r="I88" s="2"/>
      <x:c r="J88" s="2"/>
    </x:row>
    <x:row r="89" ht="20" customHeight="1">
      <x:c r="B89" s="2" t="str">
        <x:v>Add: unrestricted cash</x:v>
      </x:c>
      <x:c r="C89" s="35" t="n">
        <x:f>'Inputs'!C19</x:f>
        <x:v>66.6</x:v>
      </x:c>
      <x:c r="D89" s="2"/>
      <x:c r="E89" s="2"/>
      <x:c r="F89" s="2"/>
      <x:c r="G89" s="2"/>
      <x:c r="H89" s="2"/>
      <x:c r="I89" s="2"/>
      <x:c r="J89" s="2"/>
    </x:row>
    <x:row r="90" ht="20" customHeight="1">
      <x:c r="B90" s="2" t="str">
        <x:v>Less: pension / postretirement</x:v>
      </x:c>
      <x:c r="C90" s="35" t="n">
        <x:f>-'Inputs'!C20</x:f>
        <x:v>-68.005</x:v>
      </x:c>
      <x:c r="D90" s="2"/>
      <x:c r="E90" s="2"/>
      <x:c r="F90" s="2"/>
      <x:c r="G90" s="2"/>
      <x:c r="H90" s="2"/>
      <x:c r="I90" s="2"/>
      <x:c r="J90" s="2"/>
    </x:row>
    <x:row r="91" ht="20" customHeight="1">
      <x:c r="B91" s="2" t="str">
        <x:v>Less: redeemable minority</x:v>
      </x:c>
      <x:c r="C91" s="35" t="n">
        <x:f>-'Inputs'!C21</x:f>
        <x:v>-1.18</x:v>
      </x:c>
      <x:c r="D91" s="2"/>
      <x:c r="E91" s="2"/>
      <x:c r="F91" s="2"/>
      <x:c r="G91" s="2"/>
      <x:c r="H91" s="2"/>
      <x:c r="I91" s="2"/>
      <x:c r="J91" s="2"/>
    </x:row>
    <x:row r="92" ht="20" customHeight="1">
      <x:c r="B92" s="2" t="str">
        <x:v>Less: other minority</x:v>
      </x:c>
      <x:c r="C92" s="35" t="n">
        <x:f>-'Inputs'!C22</x:f>
        <x:v>-0.761</x:v>
      </x:c>
      <x:c r="D92" s="2"/>
      <x:c r="E92" s="2"/>
      <x:c r="F92" s="2"/>
      <x:c r="G92" s="2"/>
      <x:c r="H92" s="2"/>
      <x:c r="I92" s="2"/>
      <x:c r="J92" s="2"/>
    </x:row>
    <x:row r="93" ht="20" customHeight="1">
      <x:c r="B93" s="2" t="str">
        <x:v>Less: VIE financing</x:v>
      </x:c>
      <x:c r="C93" s="35" t="n">
        <x:f>-'Inputs'!C23</x:f>
        <x:v>-7.5</x:v>
      </x:c>
      <x:c r="D93" s="2"/>
      <x:c r="E93" s="2"/>
      <x:c r="F93" s="2"/>
      <x:c r="G93" s="2"/>
      <x:c r="H93" s="2"/>
      <x:c r="I93" s="2"/>
      <x:c r="J93" s="2"/>
    </x:row>
    <x:row r="94" ht="20" customHeight="1">
      <x:c r="B94" s="2" t="str">
        <x:v>Equity value</x:v>
      </x:c>
      <x:c r="C94" s="35" t="n">
        <x:f>C47</x:f>
        <x:v>4996.487181570002</x:v>
      </x:c>
      <x:c r="D94" s="2"/>
      <x:c r="E94" s="2"/>
      <x:c r="F94" s="2"/>
      <x:c r="G94" s="2"/>
      <x:c r="H94" s="2"/>
      <x:c r="I94" s="2"/>
      <x:c r="J94" s="2"/>
    </x:row>
    <x:row r="95" ht="20" customHeight="1">
      <x:c r="B95" s="2" t="str">
        <x:v>Diluted shares proxy</x:v>
      </x:c>
      <x:c r="C95" s="35" t="n">
        <x:f>C26</x:f>
        <x:v>58.582333</x:v>
      </x:c>
      <x:c r="D95" s="2"/>
      <x:c r="E95" s="2"/>
      <x:c r="F95" s="2"/>
      <x:c r="G95" s="2"/>
      <x:c r="H95" s="2"/>
      <x:c r="I95" s="2"/>
      <x:c r="J95" s="2"/>
    </x:row>
    <x:row r="96" ht="20" customHeight="1">
      <x:c r="B96" s="2" t="str">
        <x:v>Value per share</x:v>
      </x:c>
      <x:c r="C96" s="13" t="n">
        <x:f>C48</x:f>
        <x:v>85.29000000000003</x:v>
      </x:c>
      <x:c r="D96" s="2"/>
      <x:c r="E96" s="2"/>
      <x:c r="F96" s="2"/>
      <x:c r="G96" s="2"/>
      <x:c r="H96" s="2"/>
      <x:c r="I96" s="2"/>
      <x:c r="J96" s="2"/>
    </x:row>
    <x:row r="97" ht="20" customHeight="1">
      <x:c r="B97" s="2"/>
      <x:c r="C97" s="2"/>
      <x:c r="D97" s="2"/>
      <x:c r="E97" s="2"/>
      <x:c r="F97" s="2"/>
      <x:c r="G97" s="2"/>
      <x:c r="H97" s="2"/>
      <x:c r="I97" s="2"/>
      <x:c r="J97" s="2"/>
    </x:row>
    <x:row r="98" ht="20" customHeight="1">
      <x:c r="B98" s="2"/>
      <x:c r="C98" s="2"/>
      <x:c r="D98" s="2"/>
      <x:c r="E98" s="2"/>
      <x:c r="F98" s="2"/>
      <x:c r="G98" s="2"/>
      <x:c r="H98" s="2"/>
      <x:c r="I98" s="2"/>
      <x:c r="J98" s="2"/>
    </x:row>
    <x:row r="99" ht="20" customHeight="1">
      <x:c r="B99" s="2" t="str">
        <x:v>Bridge reconciliation</x:v>
      </x:c>
      <x:c r="C99" s="36" t="n">
        <x:f>SUM(C87:C93)-C94</x:f>
        <x:v>0</x:v>
      </x:c>
      <x:c r="D99" s="2"/>
      <x:c r="E99" s="2" t="str">
        <x:v>Enterprise value plus signed balance-sheet adjustments must equal equity value.</x:v>
      </x:c>
      <x:c r="F99" s="2"/>
      <x:c r="G99" s="2"/>
      <x:c r="H99" s="2"/>
      <x:c r="I99" s="2"/>
      <x:c r="J99" s="2"/>
    </x:row>
    <x:row r="100" ht="20" customHeight="1">
      <x:c r="B100" s="2"/>
      <x:c r="C100" s="2"/>
      <x:c r="D100" s="2"/>
      <x:c r="E100" s="2"/>
      <x:c r="F100" s="2"/>
      <x:c r="G100" s="2"/>
      <x:c r="H100" s="2"/>
      <x:c r="I100" s="2"/>
      <x:c r="J100" s="2"/>
    </x:row>
    <x:row r="101" ht="20" customHeight="1">
      <x:c r="B101" s="2"/>
      <x:c r="C101" s="2"/>
      <x:c r="D101" s="2"/>
      <x:c r="E101" s="2"/>
      <x:c r="F101" s="2"/>
      <x:c r="G101" s="2"/>
      <x:c r="H101" s="2"/>
      <x:c r="I101" s="2"/>
      <x:c r="J101" s="2"/>
    </x:row>
    <x:row r="102" ht="20" customHeight="1">
      <x:c r="B102" s="2"/>
      <x:c r="C102" s="2"/>
      <x:c r="D102" s="2"/>
      <x:c r="E102" s="2"/>
      <x:c r="F102" s="2"/>
      <x:c r="G102" s="2"/>
      <x:c r="H102" s="2"/>
      <x:c r="I102" s="2"/>
      <x:c r="J102" s="2"/>
    </x:row>
  </x:sheetData>
  <x:conditionalFormatting sqref="C49:C49">
    <x:cfRule type="cellIs" dxfId="0" priority="1" operator="between">
      <x:formula>-0.01</x:formula>
      <x:formula>0.01</x:formula>
    </x:cfRule>
    <x:cfRule type="expression" dxfId="1" priority="2">
      <x:formula>ABS(C49)&gt;0.01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8C8AE"/>
  </x:sheetPr>
  <x:sheetViews>
    <x:sheetView showGridLines="0" workbookViewId="0"/>
  </x:sheetViews>
  <x:sheetFormatPr defaultRowHeight="15"/>
  <x:cols>
    <x:col min="1" max="1" width="3" hidden="0" customWidth="1"/>
    <x:col min="2" max="2" width="3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0" customHeight="1">
      <x:c r="A1" s="2"/>
      <x:c r="B1" s="2"/>
      <x:c r="C1" s="3"/>
      <x:c r="D1" s="3"/>
      <x:c r="E1" s="3"/>
      <x:c r="F1" s="3"/>
      <x:c r="G1" s="3"/>
      <x:c r="H1" s="3"/>
      <x:c r="I1" s="3"/>
      <x:c r="J1" s="3"/>
    </x:row>
    <x:row r="2" ht="20" customHeight="1">
      <x:c r="A2" s="2"/>
      <x:c r="B2" s="5" t="str">
        <x:v>GOLF source inputs</x:v>
      </x:c>
      <x:c r="C2" s="3"/>
      <x:c r="D2" s="3"/>
      <x:c r="E2" s="3"/>
      <x:c r="F2" s="3"/>
      <x:c r="G2" s="3"/>
      <x:c r="H2" s="3"/>
      <x:c r="I2" s="3"/>
      <x:c r="J2" s="3"/>
    </x:row>
    <x:row r="3" ht="20" customHeight="1">
      <x:c r="A3" s="2"/>
      <x:c r="B3" s="2" t="str">
        <x:v>USD millions except price. Data retrieved September 10, 2026.</x:v>
      </x:c>
      <x:c r="C3" s="3"/>
      <x:c r="D3" s="3"/>
      <x:c r="E3" s="3"/>
      <x:c r="F3" s="3"/>
      <x:c r="G3" s="3"/>
      <x:c r="H3" s="3"/>
      <x:c r="I3" s="3"/>
      <x:c r="J3" s="3"/>
    </x:row>
    <x:row r="4" ht="20" customHeight="1">
      <x:c r="A4" s="2"/>
      <x:c r="B4" s="2"/>
      <x:c r="C4" s="3"/>
      <x:c r="D4" s="3"/>
      <x:c r="E4" s="3"/>
      <x:c r="F4" s="3"/>
      <x:c r="G4" s="3"/>
      <x:c r="H4" s="3"/>
      <x:c r="I4" s="3"/>
      <x:c r="J4" s="3"/>
    </x:row>
    <x:row r="5" ht="20" customHeight="1">
      <x:c r="A5" s="2"/>
      <x:c r="B5" s="10" t="str">
        <x:v>Market and company data</x:v>
      </x:c>
      <x:c r="C5" s="11"/>
      <x:c r="D5" s="3"/>
      <x:c r="E5" s="3"/>
      <x:c r="F5" s="3"/>
      <x:c r="G5" s="3"/>
      <x:c r="H5" s="3"/>
      <x:c r="I5" s="3"/>
      <x:c r="J5" s="3"/>
    </x:row>
    <x:row r="6" ht="20" customHeight="1">
      <x:c r="A6" s="2"/>
      <x:c r="B6" s="2" t="str">
        <x:v>Share price</x:v>
      </x:c>
      <x:c r="C6" s="30" t="n">
        <x:v>85.29</x:v>
      </x:c>
      <x:c r="D6" s="3"/>
      <x:c r="E6" s="3" t="str">
        <x:v>September 10, 2026 quote; not represented as a live price.</x:v>
      </x:c>
      <x:c r="F6" s="3"/>
      <x:c r="G6" s="3"/>
      <x:c r="H6" s="3"/>
      <x:c r="I6" s="3"/>
      <x:c r="J6" s="3"/>
    </x:row>
    <x:row r="7" ht="20" customHeight="1">
      <x:c r="A7" s="2"/>
      <x:c r="B7" s="2"/>
      <x:c r="C7" s="3"/>
      <x:c r="D7" s="3"/>
      <x:c r="E7" s="3"/>
      <x:c r="F7" s="3"/>
      <x:c r="G7" s="3"/>
      <x:c r="H7" s="3"/>
      <x:c r="I7" s="3"/>
      <x:c r="J7" s="3"/>
    </x:row>
    <x:row r="8" ht="20" customHeight="1">
      <x:c r="A8" s="2"/>
      <x:c r="B8" s="2" t="str">
        <x:v>2026 revenue guidance: low</x:v>
      </x:c>
      <x:c r="C8" s="19" t="n">
        <x:v>2650</x:v>
      </x:c>
      <x:c r="D8" s="3"/>
      <x:c r="E8" s="3" t="str">
        <x:v>August 6, 2026 results.</x:v>
      </x:c>
      <x:c r="F8" s="3"/>
      <x:c r="G8" s="3"/>
      <x:c r="H8" s="3"/>
      <x:c r="I8" s="3"/>
      <x:c r="J8" s="3"/>
    </x:row>
    <x:row r="9" ht="20" customHeight="1">
      <x:c r="A9" s="2"/>
      <x:c r="B9" s="2" t="str">
        <x:v>2026 revenue guidance: high</x:v>
      </x:c>
      <x:c r="C9" s="19" t="n">
        <x:v>2675</x:v>
      </x:c>
      <x:c r="D9" s="3"/>
      <x:c r="E9" s="3" t="str">
        <x:v>August 6, 2026 results.</x:v>
      </x:c>
      <x:c r="F9" s="3"/>
      <x:c r="G9" s="3"/>
      <x:c r="H9" s="3"/>
      <x:c r="I9" s="3"/>
      <x:c r="J9" s="3"/>
    </x:row>
    <x:row r="10" ht="20" customHeight="1">
      <x:c r="A10" s="2"/>
      <x:c r="B10" s="2" t="str">
        <x:v>2026 tariff refunds in guidance</x:v>
      </x:c>
      <x:c r="C10" s="19" t="n">
        <x:v>30</x:v>
      </x:c>
      <x:c r="D10" s="3"/>
      <x:c r="E10" s="3" t="str">
        <x:v>Excluded from recurring margin assumptions.</x:v>
      </x:c>
      <x:c r="F10" s="3"/>
      <x:c r="G10" s="3"/>
      <x:c r="H10" s="3"/>
      <x:c r="I10" s="3"/>
      <x:c r="J10" s="3"/>
    </x:row>
    <x:row r="11" ht="20" customHeight="1">
      <x:c r="A11" s="2"/>
      <x:c r="B11" s="2"/>
      <x:c r="C11" s="3"/>
      <x:c r="D11" s="3"/>
      <x:c r="E11" s="3"/>
      <x:c r="F11" s="3"/>
      <x:c r="G11" s="3"/>
      <x:c r="H11" s="3"/>
      <x:c r="I11" s="3"/>
      <x:c r="J11" s="3"/>
    </x:row>
    <x:row r="12" ht="20" customHeight="1">
      <x:c r="A12" s="2"/>
      <x:c r="B12" s="2" t="str">
        <x:v>Common shares outstanding</x:v>
      </x:c>
      <x:c r="C12" s="31" t="n">
        <x:v>58.405044</x:v>
      </x:c>
      <x:c r="D12" s="3"/>
      <x:c r="E12" s="3" t="str">
        <x:v>July 31, 2026 outstanding shares.</x:v>
      </x:c>
      <x:c r="F12" s="3"/>
      <x:c r="G12" s="3"/>
      <x:c r="H12" s="3"/>
      <x:c r="I12" s="3"/>
      <x:c r="J12" s="3"/>
    </x:row>
    <x:row r="13" ht="20" customHeight="1">
      <x:c r="A13" s="2"/>
      <x:c r="B13" s="2" t="str">
        <x:v>Incremental diluted shares</x:v>
      </x:c>
      <x:c r="C13" s="31" t="n">
        <x:v>0.177289</x:v>
      </x:c>
      <x:c r="D13" s="3"/>
      <x:c r="E13" s="3" t="str">
        <x:v>Q2 diluted 59.929313 less basic 59.752024.</x:v>
      </x:c>
      <x:c r="F13" s="3"/>
      <x:c r="G13" s="3"/>
      <x:c r="H13" s="3"/>
      <x:c r="I13" s="3"/>
      <x:c r="J13" s="3"/>
    </x:row>
    <x:row r="14" ht="20" customHeight="1">
      <x:c r="A14" s="2"/>
      <x:c r="B14" s="2"/>
      <x:c r="C14" s="3"/>
      <x:c r="D14" s="3"/>
      <x:c r="E14" s="3"/>
      <x:c r="F14" s="3"/>
      <x:c r="G14" s="3"/>
      <x:c r="H14" s="3"/>
      <x:c r="I14" s="3"/>
      <x:c r="J14" s="3"/>
    </x:row>
    <x:row r="15" ht="20" customHeight="1">
      <x:c r="A15" s="2"/>
      <x:c r="B15" s="2" t="str">
        <x:v>Revolving debt principal</x:v>
      </x:c>
      <x:c r="C15" s="19" t="n">
        <x:v>441.6</x:v>
      </x:c>
      <x:c r="D15" s="3"/>
      <x:c r="E15" s="3" t="str">
        <x:v>June 30, 2026; rounded disclosed principal.</x:v>
      </x:c>
      <x:c r="F15" s="3"/>
      <x:c r="G15" s="3"/>
      <x:c r="H15" s="3"/>
      <x:c r="I15" s="3"/>
      <x:c r="J15" s="3"/>
    </x:row>
    <x:row r="16" ht="20" customHeight="1">
      <x:c r="A16" s="2"/>
      <x:c r="B16" s="2" t="str">
        <x:v>Senior notes principal</x:v>
      </x:c>
      <x:c r="C16" s="19" t="n">
        <x:v>500</x:v>
      </x:c>
      <x:c r="D16" s="3"/>
      <x:c r="E16" s="3" t="str">
        <x:v>June 30, 2026; principal proxy.</x:v>
      </x:c>
      <x:c r="F16" s="3"/>
      <x:c r="G16" s="3"/>
      <x:c r="H16" s="3"/>
      <x:c r="I16" s="3"/>
      <x:c r="J16" s="3"/>
    </x:row>
    <x:row r="17" ht="20" customHeight="1">
      <x:c r="A17" s="2"/>
      <x:c r="B17" s="2" t="str">
        <x:v>Short-term debt</x:v>
      </x:c>
      <x:c r="C17" s="19" t="n">
        <x:v>22.902</x:v>
      </x:c>
      <x:c r="D17" s="3"/>
      <x:c r="E17" s="3" t="str">
        <x:v>June 30, 2026 balance sheet.</x:v>
      </x:c>
      <x:c r="F17" s="3"/>
      <x:c r="G17" s="3"/>
      <x:c r="H17" s="3"/>
      <x:c r="I17" s="3"/>
      <x:c r="J17" s="3"/>
    </x:row>
    <x:row r="18" ht="20" customHeight="1">
      <x:c r="A18" s="2"/>
      <x:c r="B18" s="2" t="str">
        <x:v>Current long-term debt</x:v>
      </x:c>
      <x:c r="C18" s="19" t="n">
        <x:v>0.639</x:v>
      </x:c>
      <x:c r="D18" s="3"/>
      <x:c r="E18" s="3" t="str">
        <x:v>June 30, 2026 balance sheet.</x:v>
      </x:c>
      <x:c r="F18" s="3"/>
      <x:c r="G18" s="3"/>
      <x:c r="H18" s="3"/>
      <x:c r="I18" s="3"/>
      <x:c r="J18" s="3"/>
    </x:row>
    <x:row r="19" ht="20" customHeight="1">
      <x:c r="A19" s="2"/>
      <x:c r="B19" s="2" t="str">
        <x:v>Unrestricted cash</x:v>
      </x:c>
      <x:c r="C19" s="19" t="n">
        <x:v>66.6</x:v>
      </x:c>
      <x:c r="D19" s="3"/>
      <x:c r="E19" s="3" t="str">
        <x:v>June 30, 2026; includes VIE cash, excludes restricted cash.</x:v>
      </x:c>
      <x:c r="F19" s="3"/>
      <x:c r="G19" s="3"/>
      <x:c r="H19" s="3"/>
      <x:c r="I19" s="3"/>
      <x:c r="J19" s="3"/>
    </x:row>
    <x:row r="20" ht="20" customHeight="1">
      <x:c r="A20" s="2"/>
      <x:c r="B20" s="2" t="str">
        <x:v>Pension / postretirement liability</x:v>
      </x:c>
      <x:c r="C20" s="19" t="n">
        <x:v>68.005</x:v>
      </x:c>
      <x:c r="D20" s="3"/>
      <x:c r="E20" s="3" t="str">
        <x:v>June 30, 2026 carrying value.</x:v>
      </x:c>
      <x:c r="F20" s="3"/>
      <x:c r="G20" s="3"/>
      <x:c r="H20" s="3"/>
      <x:c r="I20" s="3"/>
      <x:c r="J20" s="3"/>
    </x:row>
    <x:row r="21" ht="20" customHeight="1">
      <x:c r="A21" s="2"/>
      <x:c r="B21" s="2" t="str">
        <x:v>Redeemable minority interest</x:v>
      </x:c>
      <x:c r="C21" s="19" t="n">
        <x:v>1.18</x:v>
      </x:c>
      <x:c r="D21" s="3"/>
      <x:c r="E21" s="3" t="str">
        <x:v>June 30, 2026 carrying value.</x:v>
      </x:c>
      <x:c r="F21" s="3"/>
      <x:c r="G21" s="3"/>
      <x:c r="H21" s="3"/>
      <x:c r="I21" s="3"/>
      <x:c r="J21" s="3"/>
    </x:row>
    <x:row r="22" ht="20" customHeight="1">
      <x:c r="A22" s="2"/>
      <x:c r="B22" s="2" t="str">
        <x:v>Other minority interest</x:v>
      </x:c>
      <x:c r="C22" s="19" t="n">
        <x:v>0.761</x:v>
      </x:c>
      <x:c r="D22" s="3"/>
      <x:c r="E22" s="3" t="str">
        <x:v>June 30, 2026 carrying value.</x:v>
      </x:c>
      <x:c r="F22" s="3"/>
      <x:c r="G22" s="3"/>
      <x:c r="H22" s="3"/>
      <x:c r="I22" s="3"/>
      <x:c r="J22" s="3"/>
    </x:row>
    <x:row r="23" ht="20" customHeight="1">
      <x:c r="A23" s="2"/>
      <x:c r="B23" s="2" t="str">
        <x:v>VIE financing</x:v>
      </x:c>
      <x:c r="C23" s="19" t="n">
        <x:v>7.5</x:v>
      </x:c>
      <x:c r="D23" s="3"/>
      <x:c r="E23" s="3" t="str">
        <x:v>Lionscore note in other noncurrent liabilities.</x:v>
      </x:c>
      <x:c r="F23" s="3"/>
      <x:c r="G23" s="3"/>
      <x:c r="H23" s="3"/>
      <x:c r="I23" s="3"/>
      <x:c r="J23" s="3"/>
    </x:row>
    <x:row r="24" ht="20" customHeight="1">
      <x:c r="A24" s="2"/>
      <x:c r="B24" s="2"/>
      <x:c r="C24" s="3"/>
      <x:c r="D24" s="3"/>
      <x:c r="E24" s="3"/>
      <x:c r="F24" s="3"/>
      <x:c r="G24" s="3"/>
      <x:c r="H24" s="3"/>
      <x:c r="I24" s="3"/>
      <x:c r="J24" s="3"/>
    </x:row>
    <x:row r="25" ht="20" customHeight="1">
      <x:c r="A25" s="2"/>
      <x:c r="B25" s="2" t="str">
        <x:v>2026 physical capex guidance</x:v>
      </x:c>
      <x:c r="C25" s="19" t="n">
        <x:v>95</x:v>
      </x:c>
      <x:c r="D25" s="3"/>
      <x:c r="E25" s="3" t="str">
        <x:v>Calibration only; forecast uses 3.5% of revenue.</x:v>
      </x:c>
      <x:c r="F25" s="3"/>
      <x:c r="G25" s="3"/>
      <x:c r="H25" s="3"/>
      <x:c r="I25" s="3"/>
      <x:c r="J25" s="3"/>
    </x:row>
    <x:row r="26" ht="20" customHeight="1">
      <x:c r="A26" s="2"/>
      <x:c r="B26" s="2" t="str">
        <x:v>2026 ERP spending guidance</x:v>
      </x:c>
      <x:c r="C26" s="19" t="n">
        <x:v>25</x:v>
      </x:c>
      <x:c r="D26" s="3"/>
      <x:c r="E26" s="3" t="str">
        <x:v>Gross guidance; model assumes a separate net investment schedule.</x:v>
      </x:c>
      <x:c r="F26" s="3"/>
      <x:c r="G26" s="3"/>
      <x:c r="H26" s="3"/>
      <x:c r="I26" s="3"/>
      <x:c r="J26" s="3"/>
    </x:row>
    <x:row r="27" ht="20" customHeight="1">
      <x:c r="A27" s="2"/>
      <x:c r="B27" s="2"/>
      <x:c r="C27" s="3"/>
      <x:c r="D27" s="3"/>
      <x:c r="E27" s="3"/>
      <x:c r="F27" s="3"/>
      <x:c r="G27" s="3"/>
      <x:c r="H27" s="3"/>
      <x:c r="I27" s="3"/>
      <x:c r="J27" s="3"/>
    </x:row>
    <x:row r="28" ht="20" customHeight="1">
      <x:c r="A28" s="2"/>
      <x:c r="B28" s="2"/>
      <x:c r="C28" s="3"/>
      <x:c r="D28" s="3"/>
      <x:c r="E28" s="3"/>
      <x:c r="F28" s="3"/>
      <x:c r="G28" s="3"/>
      <x:c r="H28" s="3"/>
      <x:c r="I28" s="3"/>
      <x:c r="J28" s="3"/>
    </x:row>
    <x:row r="29" ht="20" customHeight="1">
      <x:c r="A29" s="2"/>
      <x:c r="B29" s="25" t="str">
        <x:v>Sources</x:v>
      </x:c>
      <x:c r="C29" s="3"/>
      <x:c r="D29" s="3"/>
      <x:c r="E29" s="3"/>
      <x:c r="F29" s="3"/>
      <x:c r="G29" s="3"/>
      <x:c r="H29" s="3"/>
      <x:c r="I29" s="3"/>
      <x:c r="J29" s="3"/>
    </x:row>
    <x:row r="30" ht="20" customHeight="1">
      <x:c r="A30" s="2"/>
      <x:c r="B30" s="2" t="str">
        <x:v>Quote (row 6)</x:v>
      </x:c>
      <x:c r="C30" s="3"/>
      <x:c r="D30" s="3"/>
      <x:c r="E30" s="3"/>
      <x:c r="F30" s="3"/>
      <x:c r="G30" s="3"/>
      <x:c r="H30" s="3"/>
      <x:c r="I30" s="3"/>
      <x:c r="J30" s="3"/>
    </x:row>
    <x:row r="31" ht="20" customHeight="1">
      <x:c r="A31" s="2"/>
      <x:c r="B31" s="2" t="str">
        <x:v>https://stockanalysis.com/stocks/golf/history/</x:v>
      </x:c>
      <x:c r="C31" s="3"/>
      <x:c r="D31" s="3"/>
      <x:c r="E31" s="3"/>
      <x:c r="F31" s="3"/>
      <x:c r="G31" s="3"/>
      <x:c r="H31" s="3"/>
      <x:c r="I31" s="3"/>
      <x:c r="J31" s="3"/>
    </x:row>
    <x:row r="32" ht="20" customHeight="1">
      <x:c r="A32" s="2"/>
      <x:c r="B32" s="2"/>
      <x:c r="C32" s="3"/>
      <x:c r="D32" s="3"/>
      <x:c r="E32" s="3"/>
      <x:c r="F32" s="3"/>
      <x:c r="G32" s="3"/>
      <x:c r="H32" s="3"/>
      <x:c r="I32" s="3"/>
      <x:c r="J32" s="3"/>
    </x:row>
    <x:row r="33" ht="20" customHeight="1">
      <x:c r="A33" s="2"/>
      <x:c r="B33" s="2" t="str">
        <x:v>Q2 2026 results (rows 8–13)</x:v>
      </x:c>
      <x:c r="C33" s="3"/>
      <x:c r="D33" s="3"/>
      <x:c r="E33" s="3"/>
      <x:c r="F33" s="3"/>
      <x:c r="G33" s="3"/>
      <x:c r="H33" s="3"/>
      <x:c r="I33" s="3"/>
      <x:c r="J33" s="3"/>
    </x:row>
    <x:row r="34" ht="20" customHeight="1">
      <x:c r="A34" s="2"/>
      <x:c r="B34" s="2" t="str">
        <x:v>https://www.sec.gov/Archives/edgar/data/1672013/000167201326000157/ex991-q22026.htm</x:v>
      </x:c>
      <x:c r="C34" s="3"/>
      <x:c r="D34" s="3"/>
      <x:c r="E34" s="3"/>
      <x:c r="F34" s="3"/>
      <x:c r="G34" s="3"/>
      <x:c r="H34" s="3"/>
      <x:c r="I34" s="3"/>
      <x:c r="J34" s="3"/>
    </x:row>
    <x:row r="35" ht="20" customHeight="1">
      <x:c r="A35" s="2"/>
      <x:c r="B35" s="2"/>
      <x:c r="C35" s="3"/>
      <x:c r="D35" s="3"/>
      <x:c r="E35" s="3"/>
      <x:c r="F35" s="3"/>
      <x:c r="G35" s="3"/>
      <x:c r="H35" s="3"/>
      <x:c r="I35" s="3"/>
      <x:c r="J35" s="3"/>
    </x:row>
    <x:row r="36" ht="20" customHeight="1">
      <x:c r="A36" s="2"/>
      <x:c r="B36" s="2" t="str">
        <x:v>Q2 2026 10-Q (rows 15–26)</x:v>
      </x:c>
      <x:c r="C36" s="3"/>
      <x:c r="D36" s="3"/>
      <x:c r="E36" s="3"/>
      <x:c r="F36" s="3"/>
      <x:c r="G36" s="3"/>
      <x:c r="H36" s="3"/>
      <x:c r="I36" s="3"/>
      <x:c r="J36" s="3"/>
    </x:row>
    <x:row r="37" ht="20" customHeight="1">
      <x:c r="A37" s="2"/>
      <x:c r="B37" s="2" t="str">
        <x:v>https://www.sec.gov/Archives/edgar/data/1672013/000167201326000158/golf-20260630.htm</x:v>
      </x:c>
      <x:c r="C37" s="3"/>
      <x:c r="D37" s="3"/>
      <x:c r="E37" s="3"/>
      <x:c r="F37" s="3"/>
      <x:c r="G37" s="3"/>
      <x:c r="H37" s="3"/>
      <x:c r="I37" s="3"/>
      <x:c r="J37" s="3"/>
    </x:row>
    <x:row r="38" ht="20" customHeight="1">
      <x:c r="A38" s="2"/>
      <x:c r="B38" s="2"/>
      <x:c r="C38" s="3"/>
      <x:c r="D38" s="3"/>
      <x:c r="E38" s="3"/>
      <x:c r="F38" s="3"/>
      <x:c r="G38" s="3"/>
      <x:c r="H38" s="3"/>
      <x:c r="I38" s="3"/>
      <x:c r="J38" s="3"/>
    </x:row>
    <x:row r="39" ht="20" customHeight="1">
      <x:c r="A39" s="2"/>
      <x:c r="B39" s="2"/>
      <x:c r="C39" s="3"/>
      <x:c r="D39" s="3"/>
      <x:c r="E39" s="3"/>
      <x:c r="F39" s="3"/>
      <x:c r="G39" s="3"/>
      <x:c r="H39" s="3"/>
      <x:c r="I39" s="3"/>
      <x:c r="J39" s="3"/>
    </x:row>
    <x:row r="40" ht="20" customHeight="1">
      <x:c r="A40" s="2"/>
      <x:c r="B40" s="32" t="str">
        <x:v>Operating assumptions follow the existing September 8 GOLF valuation. They are estimates, not company guidance.</x:v>
      </x:c>
      <x:c r="C40" s="3"/>
      <x:c r="D40" s="3"/>
      <x:c r="E40" s="3"/>
      <x:c r="F40" s="3"/>
      <x:c r="G40" s="3"/>
      <x:c r="H40" s="3"/>
      <x:c r="I40" s="3"/>
      <x:c r="J40" s="3"/>
    </x:row>
    <x:row r="41" ht="20" customHeight="1">
      <x:c r="A41" s="2"/>
      <x:c r="B41" s="2"/>
      <x:c r="C41" s="3"/>
      <x:c r="D41" s="3"/>
      <x:c r="E41" s="3"/>
      <x:c r="F41" s="3"/>
      <x:c r="G41" s="3"/>
      <x:c r="H41" s="3"/>
      <x:c r="I41" s="3"/>
      <x:c r="J41" s="3"/>
    </x:row>
    <x:row r="42" ht="20" customHeight="1">
      <x:c r="A42" s="2"/>
      <x:c r="B42" s="2"/>
      <x:c r="C42" s="3"/>
      <x:c r="D42" s="3"/>
      <x:c r="E42" s="3"/>
      <x:c r="F42" s="3"/>
      <x:c r="G42" s="3"/>
      <x:c r="H42" s="3"/>
      <x:c r="I42" s="3"/>
      <x:c r="J42" s="3"/>
    </x:row>
    <x:row r="43" ht="20" customHeight="1">
      <x:c r="A43" s="2"/>
      <x:c r="B43" s="10" t="str">
        <x:v>Downloaded 2025 10-K actuals</x:v>
      </x:c>
      <x:c r="C43" s="11"/>
      <x:c r="D43" s="3"/>
      <x:c r="E43" s="3"/>
      <x:c r="F43" s="3"/>
      <x:c r="G43" s="3"/>
      <x:c r="H43" s="3"/>
      <x:c r="I43" s="3"/>
      <x:c r="J43" s="3"/>
    </x:row>
    <x:row r="44" ht="20" customHeight="1">
      <x:c r="A44" s="2"/>
      <x:c r="B44" s="2" t="str">
        <x:v>2025 revenue</x:v>
      </x:c>
      <x:c r="C44" s="19" t="n">
        <x:v>2558.73</x:v>
      </x:c>
      <x:c r="D44" s="3"/>
      <x:c r="E44" s="3" t="str">
        <x:v>Statements of operations, F-4; MD&amp;A, page 50.</x:v>
      </x:c>
      <x:c r="F44" s="3"/>
      <x:c r="G44" s="3"/>
      <x:c r="H44" s="3"/>
      <x:c r="I44" s="3"/>
      <x:c r="J44" s="3"/>
    </x:row>
    <x:row r="45" ht="20" customHeight="1">
      <x:c r="A45" s="2"/>
      <x:c r="B45" s="2" t="str">
        <x:v>2024 revenue</x:v>
      </x:c>
      <x:c r="C45" s="19" t="n">
        <x:v>2457.091</x:v>
      </x:c>
      <x:c r="D45" s="3"/>
      <x:c r="E45" s="3" t="str">
        <x:v>Statements of operations, F-4; MD&amp;A, page 50.</x:v>
      </x:c>
      <x:c r="F45" s="3"/>
      <x:c r="G45" s="3"/>
      <x:c r="H45" s="3"/>
      <x:c r="I45" s="3"/>
      <x:c r="J45" s="3"/>
    </x:row>
    <x:row r="46" ht="20" customHeight="1">
      <x:c r="A46" s="2"/>
      <x:c r="B46" s="2" t="str">
        <x:v>2023 revenue</x:v>
      </x:c>
      <x:c r="C46" s="19" t="n">
        <x:v>2381.995</x:v>
      </x:c>
      <x:c r="D46" s="3"/>
      <x:c r="E46" s="3" t="str">
        <x:v>Statements of operations, F-4; MD&amp;A, page 50.</x:v>
      </x:c>
      <x:c r="F46" s="3"/>
      <x:c r="G46" s="3"/>
      <x:c r="H46" s="3"/>
      <x:c r="I46" s="3"/>
      <x:c r="J46" s="3"/>
    </x:row>
    <x:row r="47" ht="20" customHeight="1">
      <x:c r="A47" s="2"/>
      <x:c r="B47" s="2" t="str">
        <x:v>2025 operating income</x:v>
      </x:c>
      <x:c r="C47" s="19" t="n">
        <x:v>299.428</x:v>
      </x:c>
      <x:c r="D47" s="3"/>
      <x:c r="E47" s="3" t="str">
        <x:v>Statements of operations, F-4; MD&amp;A, page 50.</x:v>
      </x:c>
      <x:c r="F47" s="3"/>
      <x:c r="G47" s="3"/>
      <x:c r="H47" s="3"/>
      <x:c r="I47" s="3"/>
      <x:c r="J47" s="3"/>
    </x:row>
    <x:row r="48" ht="20" customHeight="1">
      <x:c r="A48" s="2"/>
      <x:c r="B48" s="2" t="str">
        <x:v>2025 depreciation / amortization</x:v>
      </x:c>
      <x:c r="C48" s="19" t="n">
        <x:v>55.292</x:v>
      </x:c>
      <x:c r="D48" s="3"/>
      <x:c r="E48" s="3" t="str">
        <x:v>Cash flows, F-7. Excludes separate cloud ERP amortization.</x:v>
      </x:c>
      <x:c r="F48" s="3"/>
      <x:c r="G48" s="3"/>
      <x:c r="H48" s="3"/>
      <x:c r="I48" s="3"/>
      <x:c r="J48" s="3"/>
    </x:row>
    <x:row r="49" ht="20" customHeight="1">
      <x:c r="A49" s="2"/>
      <x:c r="B49" s="2" t="str">
        <x:v>2025 physical capex</x:v>
      </x:c>
      <x:c r="C49" s="19" t="n">
        <x:v>74.342</x:v>
      </x:c>
      <x:c r="D49" s="3"/>
      <x:c r="E49" s="3" t="str">
        <x:v>Cash flows, F-7.</x:v>
      </x:c>
      <x:c r="F49" s="3"/>
      <x:c r="G49" s="3"/>
      <x:c r="H49" s="3"/>
      <x:c r="I49" s="3"/>
      <x:c r="J49" s="3"/>
    </x:row>
    <x:row r="50" ht="20" customHeight="1">
      <x:c r="A50" s="2"/>
      <x:c r="B50" s="2" t="str">
        <x:v>2025 operating cash flow</x:v>
      </x:c>
      <x:c r="C50" s="19" t="n">
        <x:v>194.37</x:v>
      </x:c>
      <x:c r="D50" s="3"/>
      <x:c r="E50" s="3" t="str">
        <x:v>Cash flows, F-7. After interest and includes ERP spending.</x:v>
      </x:c>
      <x:c r="F50" s="3"/>
      <x:c r="G50" s="3"/>
      <x:c r="H50" s="3"/>
      <x:c r="I50" s="3"/>
      <x:c r="J50" s="3"/>
    </x:row>
    <x:row r="51" ht="20" customHeight="1">
      <x:c r="A51" s="2"/>
      <x:c r="B51" s="2" t="str">
        <x:v>2025 capitalized ERP investment</x:v>
      </x:c>
      <x:c r="C51" s="19" t="n">
        <x:v>38.2</x:v>
      </x:c>
      <x:c r="D51" s="3"/>
      <x:c r="E51" s="3" t="str">
        <x:v>MD&amp;A, Recent Developments and Capital Expenditures.</x:v>
      </x:c>
      <x:c r="F51" s="3"/>
      <x:c r="G51" s="3"/>
      <x:c r="H51" s="3"/>
      <x:c r="I51" s="3"/>
      <x:c r="J51" s="3"/>
    </x:row>
    <x:row r="52" ht="20" customHeight="1">
      <x:c r="A52" s="2"/>
      <x:c r="B52" s="2" t="str">
        <x:v>2025 effective tax rate</x:v>
      </x:c>
      <x:c r="C52" s="24" t="n">
        <x:v>0.219</x:v>
      </x:c>
      <x:c r="D52" s="3"/>
      <x:c r="E52" s="3" t="str">
        <x:v>MD&amp;A, Income Tax Expense.</x:v>
      </x:c>
      <x:c r="F52" s="3"/>
      <x:c r="G52" s="3"/>
      <x:c r="H52" s="3"/>
      <x:c r="I52" s="3"/>
      <x:c r="J52" s="3"/>
    </x:row>
    <x:row r="53" ht="20" customHeight="1">
      <x:c r="A53" s="2"/>
      <x:c r="B53" s="2"/>
      <x:c r="C53" s="3"/>
      <x:c r="D53" s="3"/>
      <x:c r="E53" s="3"/>
      <x:c r="F53" s="3"/>
      <x:c r="G53" s="3"/>
      <x:c r="H53" s="3"/>
      <x:c r="I53" s="3"/>
      <x:c r="J53" s="3"/>
    </x:row>
    <x:row r="54" ht="20" customHeight="1">
      <x:c r="A54" s="2"/>
      <x:c r="B54" s="2"/>
      <x:c r="C54" s="3"/>
      <x:c r="D54" s="3"/>
      <x:c r="E54" s="3"/>
      <x:c r="F54" s="3"/>
      <x:c r="G54" s="3"/>
      <x:c r="H54" s="3"/>
      <x:c r="I54" s="3"/>
      <x:c r="J54" s="3"/>
    </x:row>
    <x:row r="55" ht="20" customHeight="1">
      <x:c r="A55" s="2"/>
      <x:c r="B55" s="2" t="str">
        <x:v>Primary historical source: downloaded “golf 10k HTML.html”, year ended December 31, 2025.</x:v>
      </x:c>
      <x:c r="C55" s="3"/>
      <x:c r="D55" s="3"/>
      <x:c r="E55" s="3"/>
      <x:c r="F55" s="3"/>
      <x:c r="G55" s="3"/>
      <x:c r="H55" s="3"/>
      <x:c r="I55" s="3"/>
      <x:c r="J55" s="3"/>
    </x:row>
    <x:row r="56" ht="20" customHeight="1">
      <x:c r="A56" s="2"/>
      <x:c r="B56" s="2" t="str">
        <x:v>Corresponding SEC filing:</x:v>
      </x:c>
      <x:c r="C56" s="3"/>
      <x:c r="D56" s="3"/>
      <x:c r="E56" s="3"/>
      <x:c r="F56" s="3"/>
      <x:c r="G56" s="3"/>
      <x:c r="H56" s="3"/>
      <x:c r="I56" s="3"/>
      <x:c r="J56" s="3"/>
    </x:row>
    <x:row r="57" ht="20" customHeight="1">
      <x:c r="A57" s="2"/>
      <x:c r="B57" s="2" t="str">
        <x:v>https://www.sec.gov/Archives/edgar/data/1672013/000167201326000057/golf-20251231.htm</x:v>
      </x:c>
      <x:c r="C57" s="3"/>
      <x:c r="D57" s="3"/>
      <x:c r="E57" s="3"/>
      <x:c r="F57" s="3"/>
      <x:c r="G57" s="3"/>
      <x:c r="H57" s="3"/>
      <x:c r="I57" s="3"/>
      <x:c r="J57" s="3"/>
    </x:row>
    <x:row r="58" ht="20" customHeight="1">
      <x:c r="A58" s="2"/>
      <x:c r="B58" s="2"/>
      <x:c r="C58" s="3"/>
      <x:c r="D58" s="3"/>
      <x:c r="E58" s="3"/>
      <x:c r="F58" s="3"/>
      <x:c r="G58" s="3"/>
      <x:c r="H58" s="3"/>
      <x:c r="I58" s="3"/>
      <x:c r="J58" s="3"/>
    </x:row>
    <x:row r="59" ht="20" customHeight="1">
      <x:c r="A59" s="2"/>
      <x:c r="B59" s="2" t="str">
        <x:v>Historical figures were read directly from the downloaded filing, not a third-party financial data table.</x:v>
      </x:c>
      <x:c r="C59" s="3"/>
      <x:c r="D59" s="3"/>
      <x:c r="E59" s="3"/>
      <x:c r="F59" s="3"/>
      <x:c r="G59" s="3"/>
      <x:c r="H59" s="3"/>
      <x:c r="I59" s="3"/>
      <x:c r="J59" s="3"/>
    </x:row>
    <x:row r="60" ht="20" customHeight="1">
      <x:c r="A60" s="2"/>
      <x:c r="B60" s="2"/>
      <x:c r="C60" s="3"/>
      <x:c r="D60" s="3"/>
      <x:c r="E60" s="3"/>
      <x:c r="F60" s="3"/>
      <x:c r="G60" s="3"/>
      <x:c r="H60" s="3"/>
      <x:c r="I60" s="3"/>
      <x:c r="J60" s="3"/>
    </x:row>
    <x:row r="61" ht="20" customHeight="1">
      <x:c r="A61" s="2"/>
      <x:c r="B61" s="2"/>
      <x:c r="C61" s="3"/>
      <x:c r="D61" s="3"/>
      <x:c r="E61" s="3"/>
      <x:c r="F61" s="3"/>
      <x:c r="G61" s="3"/>
      <x:c r="H61" s="3"/>
      <x:c r="I61" s="3"/>
      <x:c r="J61" s="3"/>
    </x:row>
    <x:row r="62" ht="20" customHeight="1">
      <x:c r="A62" s="2"/>
      <x:c r="B62" s="2"/>
      <x:c r="C62" s="3"/>
      <x:c r="D62" s="3"/>
      <x:c r="E62" s="3"/>
      <x:c r="F62" s="3"/>
      <x:c r="G62" s="3"/>
      <x:c r="H62" s="3"/>
      <x:c r="I62" s="3"/>
      <x:c r="J62" s="3"/>
    </x:row>
    <x:row r="63" ht="20" customHeight="1">
      <x:c r="A63" s="2"/>
      <x:c r="B63" s="2"/>
      <x:c r="C63" s="3"/>
      <x:c r="D63" s="3"/>
      <x:c r="E63" s="3"/>
      <x:c r="F63" s="3"/>
      <x:c r="G63" s="3"/>
      <x:c r="H63" s="3"/>
      <x:c r="I63" s="3"/>
      <x:c r="J63" s="3"/>
    </x:row>
    <x:row r="64" ht="20" customHeight="1">
      <x:c r="A64" s="2"/>
      <x:c r="B64" s="2"/>
      <x:c r="C64" s="3"/>
      <x:c r="D64" s="3"/>
      <x:c r="E64" s="3"/>
      <x:c r="F64" s="3"/>
      <x:c r="G64" s="3"/>
      <x:c r="H64" s="3"/>
      <x:c r="I64" s="3"/>
      <x:c r="J64" s="3"/>
    </x:row>
    <x:row r="65" ht="20" customHeight="1">
      <x:c r="A65" s="2"/>
      <x:c r="B65" s="2"/>
      <x:c r="C65" s="3"/>
      <x:c r="D65" s="3"/>
      <x:c r="E65" s="3"/>
      <x:c r="F65" s="3"/>
      <x:c r="G65" s="3"/>
      <x:c r="H65" s="3"/>
      <x:c r="I65" s="3"/>
      <x:c r="J65" s="3"/>
    </x:row>
  </x:sheetData>
  <x:pageMargins left="0.7" right="0.7" top="0.75" bottom="0.75" header="0.3" footer="0.3"/>
</x:worksheet>
</file>